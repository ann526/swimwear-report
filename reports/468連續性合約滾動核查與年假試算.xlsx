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說明與假設" sheetId="1" state="visible" r:id="rId1"/>
    <sheet name="獨立驗算參考值" sheetId="2" state="visible" r:id="rId2"/>
    <sheet name="年假資格與試算總表" sheetId="3" state="visible" r:id="rId3"/>
    <sheet name="468滾動核查明細" sheetId="4" state="visible" r:id="rId4"/>
    <sheet name="個人班表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新細明體"/>
      <family val="2"/>
      <color indexed="8"/>
      <sz val="11"/>
      <scheme val="minor"/>
    </font>
    <font>
      <name val="新細明體"/>
      <charset val="136"/>
      <family val="3"/>
      <sz val="9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i val="1"/>
      <color rgb="00B91C1C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7c3aed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showGridLines="0" workbookViewId="0">
      <selection activeCell="A1" sqref="A1"/>
    </sheetView>
  </sheetViews>
  <sheetFormatPr baseColWidth="8" defaultRowHeight="15"/>
  <cols>
    <col width="100" customWidth="1" style="1" min="1" max="1"/>
  </cols>
  <sheetData>
    <row r="1">
      <c r="A1" s="5" t="inlineStr">
        <is>
          <t>《僱傭條例》「連續性合約」468規定 — 滾動核查與年假試算說明</t>
        </is>
      </c>
    </row>
    <row r="2">
      <c r="A2" s="6" t="inlineStr"/>
    </row>
    <row r="3">
      <c r="A3" s="7" t="inlineStr">
        <is>
          <t>一、法規依據</t>
        </is>
      </c>
    </row>
    <row r="4">
      <c r="A4" s="6" t="inlineStr">
        <is>
          <t>2025年12月立法會通過《2025年僱傭(修訂)條例》，修訂「連續性合約」定義（俗稱「468規定」），</t>
        </is>
      </c>
    </row>
    <row r="5">
      <c r="A5" s="6" t="inlineStr">
        <is>
          <t>已於 2026年1月18日 起生效，取代舊有「418規定」。由於本檔案工時數據涵蓋期間為</t>
        </is>
      </c>
    </row>
    <row r="6">
      <c r="A6" s="6" t="inlineStr">
        <is>
          <t>2026/03/01 – 2026/07/31，全期均適用新的「468規定」，毋須處理新舊制過渡問題。</t>
        </is>
      </c>
    </row>
    <row r="7">
      <c r="A7" s="6" t="inlineStr"/>
    </row>
    <row r="8">
      <c r="A8" s="7" t="inlineStr">
        <is>
          <t>僱員符合「連續性合約」的條件（EO 附表 1A）：</t>
        </is>
      </c>
    </row>
    <row r="9">
      <c r="A9" s="6" t="inlineStr">
        <is>
          <t xml:space="preserve">　(1) 連續受僱於同一僱主4個星期或以上；並</t>
        </is>
      </c>
    </row>
    <row r="10">
      <c r="A10" s="6" t="inlineStr">
        <is>
          <t xml:space="preserve">　(2) 在該星期內工作至少17小時；或</t>
        </is>
      </c>
    </row>
    <row r="11">
      <c r="A11" s="6" t="inlineStr">
        <is>
          <t xml:space="preserve">　(3) 若該星期工時少於17小時，該星期連同緊接之前3個星期合計工時達68小時或以上。</t>
        </is>
      </c>
    </row>
    <row r="12">
      <c r="A12" s="6" t="inlineStr">
        <is>
          <t>即條件(2)或(3)其一成立即可，且屬「滾動式」逐星期核查（每星期都要用「本週+前3週」重新計算一次）。</t>
        </is>
      </c>
    </row>
    <row r="13">
      <c r="A13" s="6" t="inlineStr"/>
    </row>
    <row r="14">
      <c r="A14" s="7" t="inlineStr">
        <is>
          <t>二、本試算採用的假設（請與HR/薪酬同事核對）</t>
        </is>
      </c>
    </row>
    <row r="15">
      <c r="A15" s="6" t="inlineStr">
        <is>
          <t>1. 「星期」定義：以每位員工在本檔案中首次出現的日期作為第1週起點，其後每7天為一週，</t>
        </is>
      </c>
    </row>
    <row r="16">
      <c r="A16" s="6" t="inlineStr">
        <is>
          <t xml:space="preserve">   採用「連續性合約」定義中以受僱起始日起計的週期，而非以星期日為界的曆法週。</t>
        </is>
      </c>
    </row>
    <row r="17">
      <c r="A17" s="6" t="inlineStr">
        <is>
          <t>2. 假設每位員工資料表中最早出現的日期即為其實際到職日；若實際到職日早於本表最早日期</t>
        </is>
      </c>
    </row>
    <row r="18">
      <c r="A18" s="6" t="inlineStr">
        <is>
          <t xml:space="preserve">   （例如本表只是節錄某段期間），則所有週次編號與連續期判定都需要往前平移，結果會不同，</t>
        </is>
      </c>
    </row>
    <row r="19">
      <c r="A19" s="6" t="inlineStr">
        <is>
          <t xml:space="preserve">   請務必向HR確認各員工實際到職日。</t>
        </is>
      </c>
    </row>
    <row r="20">
      <c r="A20" s="6" t="inlineStr">
        <is>
          <t>3. 「工作時數」採用原始表「總計工時」欄（第I欄），僅計實際上班工時；月休、國定假日等0小時</t>
        </is>
      </c>
    </row>
    <row r="21">
      <c r="A21" s="6" t="inlineStr">
        <is>
          <t xml:space="preserve">   紀錄不計入工時，但不影響「受僱4星期」之在職狀態認定。</t>
        </is>
      </c>
    </row>
    <row r="22">
      <c r="A22" s="6" t="inlineStr">
        <is>
          <t>4. 連續性合約一旦有一週同時未達17小時及68小時測試，即視為中斷；其後須重新累積4個連續</t>
        </is>
      </c>
    </row>
    <row r="23">
      <c r="A23" s="6" t="inlineStr">
        <is>
          <t xml:space="preserve">   星期並再次符合工時門檻，方重新進入連續性合約狀態（此為業界普遍採用的判定方式，</t>
        </is>
      </c>
    </row>
    <row r="24">
      <c r="A24" s="6" t="inlineStr">
        <is>
          <t xml:space="preserve">   惟《僱傭條例》無明文規定中斷後的追溯規則，建議個案存疑時諮詢勞工處或法律意見）。</t>
        </is>
      </c>
    </row>
    <row r="25">
      <c r="A25" s="6" t="inlineStr">
        <is>
          <t>5. 資料末週（如7/26–8/1）若原始資料尚未涵蓋完整7天，該週判定僅反映現有資料，日後應</t>
        </is>
      </c>
    </row>
    <row r="26">
      <c r="A26" s="6" t="inlineStr">
        <is>
          <t xml:space="preserve">   持續更新滾動核查。</t>
        </is>
      </c>
    </row>
    <row r="27">
      <c r="A27" s="6" t="inlineStr"/>
    </row>
    <row r="28">
      <c r="A28" s="7" t="inlineStr">
        <is>
          <t>三、年假試算方法</t>
        </is>
      </c>
    </row>
    <row r="29">
      <c r="A29" s="6" t="inlineStr">
        <is>
          <t>《僱傭條例》第41AA條：僱員按連續性合約受僱滿12個月，可享有薪年假（第一、二年7天，</t>
        </is>
      </c>
    </row>
    <row r="30">
      <c r="A30" s="6" t="inlineStr">
        <is>
          <t>其後逐年遞增，第九年或以上為14天）。若連續性合約受僱介乎3個月至12個月而僱傭關係終止，</t>
        </is>
      </c>
    </row>
    <row r="31">
      <c r="A31" s="6" t="inlineStr">
        <is>
          <t>僱員可按比例獲得年假薪金，常用估算公式為：年假日數 = 7 × 連續受僱日數 ÷ 365。</t>
        </is>
      </c>
    </row>
    <row r="32">
      <c r="A32" s="6" t="inlineStr">
        <is>
          <t>本工作紙「年假資格與試算總表」的「按比例年假估算天數」欄即按此公式，僅套用於目前</t>
        </is>
      </c>
    </row>
    <row r="33">
      <c r="A33" s="6" t="inlineStr">
        <is>
          <t>（資料最後一週）仍在生效中的連續期，且該連續期已達3個月（90天，約略估算，非精確曆月）。</t>
        </is>
      </c>
    </row>
    <row r="34">
      <c r="A34" s="6" t="inlineStr">
        <is>
          <t>此數字僅供規劃參考，並非正式的僱傭條例法定支薪年假計算（若涉及離職，應按曆月精算，</t>
        </is>
      </c>
    </row>
    <row r="35">
      <c r="A35" s="6" t="inlineStr">
        <is>
          <t>並由HR／法律顧問核實）。</t>
        </is>
      </c>
    </row>
    <row r="36">
      <c r="A36" s="6" t="inlineStr"/>
    </row>
    <row r="37">
      <c r="A37" s="7" t="inlineStr">
        <is>
          <t>四、工作紙說明</t>
        </is>
      </c>
    </row>
    <row r="38">
      <c r="A38" s="6" t="inlineStr">
        <is>
          <t>· 個人班表：原始上傳的每日工時資料（未經改動）。</t>
        </is>
      </c>
    </row>
    <row r="39">
      <c r="A39" s="6" t="inlineStr">
        <is>
          <t>· 468滾動核查明細：以公式逐週計算每位員工是否符合468規定連續性合約（可隨原始資料</t>
        </is>
      </c>
    </row>
    <row r="40">
      <c r="A40" s="6" t="inlineStr">
        <is>
          <t xml:space="preserve">   更新自動重新計算）。</t>
        </is>
      </c>
    </row>
    <row r="41">
      <c r="A41" s="6" t="inlineStr">
        <is>
          <t>· 年假資格與試算總表：彙總各員工累計符合天數、最長/目前連續期及估算年假天數。</t>
        </is>
      </c>
    </row>
    <row r="42">
      <c r="A42" s="6" t="inlineStr"/>
    </row>
    <row r="43">
      <c r="A43" s="6" t="inlineStr">
        <is>
          <t>本試算為根據現有工時數據之技術性分析，不構成法律意見；如涉及實際薪酬發放或勞資爭議，</t>
        </is>
      </c>
    </row>
    <row r="44">
      <c r="A44" s="6" t="inlineStr">
        <is>
          <t>建議諮詢香港勞工處或執業律師核實。</t>
        </is>
      </c>
    </row>
    <row r="45">
      <c r="A45" s="6" t="inlineStr">
        <is>
          <t>報告產生日期：2026/08/03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style="1" min="1" max="1"/>
    <col width="8" customWidth="1" style="1" min="2" max="2"/>
    <col width="14" customWidth="1" style="1" min="3" max="3"/>
    <col width="14" customWidth="1" style="1" min="4" max="4"/>
    <col width="20" customWidth="1" style="1" min="5" max="5"/>
    <col width="16" customWidth="1" style="1" min="6" max="6"/>
    <col width="20" customWidth="1" style="1" min="7" max="7"/>
    <col width="16" customWidth="1" style="1" min="8" max="8"/>
    <col width="26" customWidth="1" style="1" min="9" max="9"/>
  </cols>
  <sheetData>
    <row r="1" ht="48" customHeight="1" s="1">
      <c r="A1" s="8" t="inlineStr">
        <is>
          <t>本工作紙由另一支獨立 Python 程式（採用與「468滾動核查明細」公式完全相同的判定邏輯）直接讀取原始工時資料計算得出，用作交叉比對。由於目前製作環境的 LibreOffice 無法自動重新計算公式快取值，請在 Excel／Numbers／Google Sheets 開啟本檔案後，確認「468滾動核查明細」與「年假資格與試算總表」兩張工作紙自動重新計算後的數值，與本表一致。</t>
        </is>
      </c>
    </row>
    <row r="2">
      <c r="A2" s="9" t="inlineStr">
        <is>
          <t>工號</t>
        </is>
      </c>
      <c r="B2" s="9" t="inlineStr">
        <is>
          <t>姓名</t>
        </is>
      </c>
      <c r="C2" s="9" t="inlineStr">
        <is>
          <t>資料首見日期</t>
        </is>
      </c>
      <c r="D2" s="9" t="inlineStr">
        <is>
          <t>資料涵蓋至</t>
        </is>
      </c>
      <c r="E2" s="9" t="inlineStr">
        <is>
          <t>累計符合468天數(所有期間)</t>
        </is>
      </c>
      <c r="F2" s="9" t="inlineStr">
        <is>
          <t>歷來最長單一連續期(天)</t>
        </is>
      </c>
      <c r="G2" s="9" t="inlineStr">
        <is>
          <t>目前(最新一週)是否在連續期內</t>
        </is>
      </c>
      <c r="H2" s="9" t="inlineStr">
        <is>
          <t>目前連續期累計天數</t>
        </is>
      </c>
      <c r="I2" s="9" t="inlineStr">
        <is>
          <t>按比例年假估算天數(=7×連續天數/365,已達90天門檻者)</t>
        </is>
      </c>
    </row>
    <row r="3">
      <c r="A3" s="3" t="inlineStr">
        <is>
          <t>P0026</t>
        </is>
      </c>
      <c r="B3" s="3" t="inlineStr">
        <is>
          <t>李芷彤</t>
        </is>
      </c>
      <c r="C3" s="3" t="inlineStr">
        <is>
          <t>2026/03/01</t>
        </is>
      </c>
      <c r="D3" s="3" t="inlineStr">
        <is>
          <t>2026/07/31</t>
        </is>
      </c>
      <c r="E3" s="3" t="n">
        <v>104</v>
      </c>
      <c r="F3" s="3" t="n">
        <v>35</v>
      </c>
      <c r="G3" s="3" t="inlineStr">
        <is>
          <t>是(僅6天,新起始)</t>
        </is>
      </c>
      <c r="H3" s="3" t="n">
        <v>6</v>
      </c>
      <c r="I3" s="3" t="n">
        <v>0</v>
      </c>
    </row>
    <row r="4">
      <c r="A4" s="3" t="inlineStr">
        <is>
          <t>P0027</t>
        </is>
      </c>
      <c r="B4" s="3" t="inlineStr">
        <is>
          <t>陳詩祺</t>
        </is>
      </c>
      <c r="C4" s="3" t="inlineStr">
        <is>
          <t>2026/03/01</t>
        </is>
      </c>
      <c r="D4" s="3" t="inlineStr">
        <is>
          <t>2026/07/31</t>
        </is>
      </c>
      <c r="E4" s="3" t="n">
        <v>56</v>
      </c>
      <c r="F4" s="3" t="n">
        <v>14</v>
      </c>
      <c r="G4" s="3" t="inlineStr">
        <is>
          <t>否(已中斷)</t>
        </is>
      </c>
      <c r="H4" s="3" t="n">
        <v>0</v>
      </c>
      <c r="I4" s="3" t="n">
        <v>0</v>
      </c>
    </row>
    <row r="5">
      <c r="A5" s="3" t="inlineStr">
        <is>
          <t>P0028</t>
        </is>
      </c>
      <c r="B5" s="3" t="inlineStr">
        <is>
          <t>盧天欣</t>
        </is>
      </c>
      <c r="C5" s="3" t="inlineStr">
        <is>
          <t>2026/03/01</t>
        </is>
      </c>
      <c r="D5" s="3" t="inlineStr">
        <is>
          <t>2026/07/31</t>
        </is>
      </c>
      <c r="E5" s="3" t="n">
        <v>63</v>
      </c>
      <c r="F5" s="3" t="n">
        <v>28</v>
      </c>
      <c r="G5" s="3" t="inlineStr">
        <is>
          <t>否(已中斷)</t>
        </is>
      </c>
      <c r="H5" s="3" t="n">
        <v>0</v>
      </c>
      <c r="I5" s="3" t="n">
        <v>0</v>
      </c>
    </row>
    <row r="6">
      <c r="A6" s="10" t="inlineStr">
        <is>
          <t>P0029</t>
        </is>
      </c>
      <c r="B6" s="10" t="inlineStr">
        <is>
          <t>林惠嫻</t>
        </is>
      </c>
      <c r="C6" s="10" t="inlineStr">
        <is>
          <t>2026/03/01</t>
        </is>
      </c>
      <c r="D6" s="10" t="inlineStr">
        <is>
          <t>2026/03/26</t>
        </is>
      </c>
      <c r="E6" s="10" t="n">
        <v>5</v>
      </c>
      <c r="F6" s="10" t="n">
        <v>5</v>
      </c>
      <c r="G6" s="10" t="inlineStr">
        <is>
          <t>資料不足(僅26天,末週未滿7天,無法確定)</t>
        </is>
      </c>
      <c r="H6" s="10" t="n">
        <v>5</v>
      </c>
      <c r="I6" s="10" t="n">
        <v>0</v>
      </c>
    </row>
    <row r="7">
      <c r="A7" s="3" t="inlineStr">
        <is>
          <t>P0030</t>
        </is>
      </c>
      <c r="B7" s="3" t="inlineStr">
        <is>
          <t>周夏愉</t>
        </is>
      </c>
      <c r="C7" s="3" t="inlineStr">
        <is>
          <t>2026/03/09</t>
        </is>
      </c>
      <c r="D7" s="3" t="inlineStr">
        <is>
          <t>2026/07/31</t>
        </is>
      </c>
      <c r="E7" s="3" t="n">
        <v>56</v>
      </c>
      <c r="F7" s="3" t="n">
        <v>28</v>
      </c>
      <c r="G7" s="3" t="inlineStr">
        <is>
          <t>否(已中斷)</t>
        </is>
      </c>
      <c r="H7" s="3" t="n">
        <v>0</v>
      </c>
      <c r="I7" s="3" t="n">
        <v>0</v>
      </c>
    </row>
    <row r="8">
      <c r="A8" s="11" t="inlineStr">
        <is>
          <t>P0031</t>
        </is>
      </c>
      <c r="B8" s="11" t="inlineStr">
        <is>
          <t>梁綽恩</t>
        </is>
      </c>
      <c r="C8" s="11" t="inlineStr">
        <is>
          <t>2026/03/01</t>
        </is>
      </c>
      <c r="D8" s="11" t="inlineStr">
        <is>
          <t>2026/07/31</t>
        </is>
      </c>
      <c r="E8" s="11" t="n">
        <v>111</v>
      </c>
      <c r="F8" s="11" t="n">
        <v>111</v>
      </c>
      <c r="G8" s="11" t="inlineStr">
        <is>
          <t>是,持續中</t>
        </is>
      </c>
      <c r="H8" s="11" t="n">
        <v>111</v>
      </c>
      <c r="I8" s="11" t="n">
        <v>2.1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" min="1" max="1"/>
    <col width="8" customWidth="1" style="1" min="2" max="2"/>
    <col width="20" customWidth="1" style="1" min="3" max="3"/>
    <col width="14" customWidth="1" style="1" min="4" max="4"/>
    <col width="12" customWidth="1" style="1" min="5" max="5"/>
    <col width="22" customWidth="1" style="1" min="6" max="6"/>
    <col width="14" customWidth="1" style="1" min="7" max="7"/>
    <col width="16" customWidth="1" style="1" min="8" max="8"/>
    <col width="18" customWidth="1" style="1" min="9" max="9"/>
    <col width="20" customWidth="1" style="1" min="10" max="10"/>
    <col width="16" customWidth="1" style="1" min="11" max="11"/>
    <col width="22" customWidth="1" style="1" min="12" max="12"/>
    <col width="34" customWidth="1" style="1" min="13" max="13"/>
  </cols>
  <sheetData>
    <row r="1">
      <c r="A1" s="2" t="inlineStr">
        <is>
          <t>工號</t>
        </is>
      </c>
      <c r="B1" s="2" t="inlineStr">
        <is>
          <t>姓名</t>
        </is>
      </c>
      <c r="C1" s="2" t="inlineStr">
        <is>
          <t>資料首見日期(假設為到職日)</t>
        </is>
      </c>
      <c r="D1" s="2" t="inlineStr">
        <is>
          <t>資料涵蓋至</t>
        </is>
      </c>
      <c r="E1" s="2" t="inlineStr">
        <is>
          <t>資料涵蓋總天數</t>
        </is>
      </c>
      <c r="F1" s="2" t="inlineStr">
        <is>
          <t>累計符合468連續性合約天數(所有期間加總)</t>
        </is>
      </c>
      <c r="G1" s="2" t="inlineStr">
        <is>
          <t>累計符合468連續性合約週數</t>
        </is>
      </c>
      <c r="H1" s="2" t="inlineStr">
        <is>
          <t>歷來最長單一連續期(天)</t>
        </is>
      </c>
      <c r="I1" s="2" t="inlineStr">
        <is>
          <t>最新一週是否仍在連續期內</t>
        </is>
      </c>
      <c r="J1" s="2" t="inlineStr">
        <is>
          <t>目前連續期累計天數(遇中斷則為0)</t>
        </is>
      </c>
      <c r="K1" s="2" t="inlineStr">
        <is>
          <t>是否已達3個月(90天)門檻</t>
        </is>
      </c>
      <c r="L1" s="2" t="inlineStr">
        <is>
          <t>按比例年假估算天數 =7×連續天數/365</t>
        </is>
      </c>
      <c r="M1" s="2" t="inlineStr">
        <is>
          <t>備註</t>
        </is>
      </c>
    </row>
    <row r="2">
      <c r="A2" s="3" t="inlineStr">
        <is>
          <t>P0026</t>
        </is>
      </c>
      <c r="B2" s="3" t="inlineStr">
        <is>
          <t>李芷彤</t>
        </is>
      </c>
      <c r="C2" s="3">
        <f>MINIFS(個人班表!$D$2:$D$785,個人班表!$B$2:$B$785,$A2)</f>
        <v/>
      </c>
      <c r="D2" s="3">
        <f>MAXIFS(個人班表!$D$2:$D$785,個人班表!$B$2:$B$785,$A2)</f>
        <v/>
      </c>
      <c r="E2" s="3">
        <f>DATEDIF(DATEVALUE(SUBSTITUTE($C2,"/","-")),DATEVALUE(SUBSTITUTE($D2,"/","-")),"d")+1</f>
        <v/>
      </c>
      <c r="F2" s="3">
        <f>SUMIFS('468滾動核查明細'!$M$2:$M$114,'468滾動核查明細'!$A$2:$A$114,$A2)</f>
        <v/>
      </c>
      <c r="G2" s="3">
        <f>COUNTIFS('468滾動核查明細'!$A$2:$A$114,$A2,'468滾動核查明細'!$L$2:$L$114,"是")</f>
        <v/>
      </c>
      <c r="H2" s="3">
        <f>MAXIFS('468滾動核查明細'!$O$2:$O$114,'468滾動核查明細'!$A$2:$A$114,$A2)</f>
        <v/>
      </c>
      <c r="I2" s="3">
        <f>LOOKUP(2,1/('468滾動核查明細'!$A$2:$A$114=$A2),'468滾動核查明細'!$L$2:$L$114)</f>
        <v/>
      </c>
      <c r="J2" s="3">
        <f>LOOKUP(2,1/('468滾動核查明細'!$A$2:$A$114=$A2),'468滾動核查明細'!$O$2:$O$114)</f>
        <v/>
      </c>
      <c r="K2" s="3">
        <f>IF(J2&gt;=90,"是","否")</f>
        <v/>
      </c>
      <c r="L2" s="3">
        <f>IF(K2="是",ROUND(7*J2/365,1),0)</f>
        <v/>
      </c>
    </row>
    <row r="3">
      <c r="A3" s="3" t="inlineStr">
        <is>
          <t>P0027</t>
        </is>
      </c>
      <c r="B3" s="3" t="inlineStr">
        <is>
          <t>陳詩祺</t>
        </is>
      </c>
      <c r="C3" s="3">
        <f>MINIFS(個人班表!$D$2:$D$785,個人班表!$B$2:$B$785,$A3)</f>
        <v/>
      </c>
      <c r="D3" s="3">
        <f>MAXIFS(個人班表!$D$2:$D$785,個人班表!$B$2:$B$785,$A3)</f>
        <v/>
      </c>
      <c r="E3" s="3">
        <f>DATEDIF(DATEVALUE(SUBSTITUTE($C3,"/","-")),DATEVALUE(SUBSTITUTE($D3,"/","-")),"d")+1</f>
        <v/>
      </c>
      <c r="F3" s="3">
        <f>SUMIFS('468滾動核查明細'!$M$2:$M$114,'468滾動核查明細'!$A$2:$A$114,$A3)</f>
        <v/>
      </c>
      <c r="G3" s="3">
        <f>COUNTIFS('468滾動核查明細'!$A$2:$A$114,$A3,'468滾動核查明細'!$L$2:$L$114,"是")</f>
        <v/>
      </c>
      <c r="H3" s="3">
        <f>MAXIFS('468滾動核查明細'!$O$2:$O$114,'468滾動核查明細'!$A$2:$A$114,$A3)</f>
        <v/>
      </c>
      <c r="I3" s="3">
        <f>LOOKUP(2,1/('468滾動核查明細'!$A$2:$A$114=$A3),'468滾動核查明細'!$L$2:$L$114)</f>
        <v/>
      </c>
      <c r="J3" s="3">
        <f>LOOKUP(2,1/('468滾動核查明細'!$A$2:$A$114=$A3),'468滾動核查明細'!$O$2:$O$114)</f>
        <v/>
      </c>
      <c r="K3" s="3">
        <f>IF(J3&gt;=90,"是","否")</f>
        <v/>
      </c>
      <c r="L3" s="3">
        <f>IF(K3="是",ROUND(7*J3/365,1),0)</f>
        <v/>
      </c>
    </row>
    <row r="4">
      <c r="A4" s="3" t="inlineStr">
        <is>
          <t>P0028</t>
        </is>
      </c>
      <c r="B4" s="3" t="inlineStr">
        <is>
          <t>盧天欣</t>
        </is>
      </c>
      <c r="C4" s="3">
        <f>MINIFS(個人班表!$D$2:$D$785,個人班表!$B$2:$B$785,$A4)</f>
        <v/>
      </c>
      <c r="D4" s="3">
        <f>MAXIFS(個人班表!$D$2:$D$785,個人班表!$B$2:$B$785,$A4)</f>
        <v/>
      </c>
      <c r="E4" s="3">
        <f>DATEDIF(DATEVALUE(SUBSTITUTE($C4,"/","-")),DATEVALUE(SUBSTITUTE($D4,"/","-")),"d")+1</f>
        <v/>
      </c>
      <c r="F4" s="3">
        <f>SUMIFS('468滾動核查明細'!$M$2:$M$114,'468滾動核查明細'!$A$2:$A$114,$A4)</f>
        <v/>
      </c>
      <c r="G4" s="3">
        <f>COUNTIFS('468滾動核查明細'!$A$2:$A$114,$A4,'468滾動核查明細'!$L$2:$L$114,"是")</f>
        <v/>
      </c>
      <c r="H4" s="3">
        <f>MAXIFS('468滾動核查明細'!$O$2:$O$114,'468滾動核查明細'!$A$2:$A$114,$A4)</f>
        <v/>
      </c>
      <c r="I4" s="3">
        <f>LOOKUP(2,1/('468滾動核查明細'!$A$2:$A$114=$A4),'468滾動核查明細'!$L$2:$L$114)</f>
        <v/>
      </c>
      <c r="J4" s="3">
        <f>LOOKUP(2,1/('468滾動核查明細'!$A$2:$A$114=$A4),'468滾動核查明細'!$O$2:$O$114)</f>
        <v/>
      </c>
      <c r="K4" s="3">
        <f>IF(J4&gt;=90,"是","否")</f>
        <v/>
      </c>
      <c r="L4" s="3">
        <f>IF(K4="是",ROUND(7*J4/365,1),0)</f>
        <v/>
      </c>
    </row>
    <row r="5">
      <c r="A5" s="3" t="inlineStr">
        <is>
          <t>P0029</t>
        </is>
      </c>
      <c r="B5" s="3" t="inlineStr">
        <is>
          <t>林惠嫻</t>
        </is>
      </c>
      <c r="C5" s="3">
        <f>MINIFS(個人班表!$D$2:$D$785,個人班表!$B$2:$B$785,$A5)</f>
        <v/>
      </c>
      <c r="D5" s="3">
        <f>MAXIFS(個人班表!$D$2:$D$785,個人班表!$B$2:$B$785,$A5)</f>
        <v/>
      </c>
      <c r="E5" s="3">
        <f>DATEDIF(DATEVALUE(SUBSTITUTE($C5,"/","-")),DATEVALUE(SUBSTITUTE($D5,"/","-")),"d")+1</f>
        <v/>
      </c>
      <c r="F5" s="3">
        <f>SUMIFS('468滾動核查明細'!$M$2:$M$114,'468滾動核查明細'!$A$2:$A$114,$A5)</f>
        <v/>
      </c>
      <c r="G5" s="3">
        <f>COUNTIFS('468滾動核查明細'!$A$2:$A$114,$A5,'468滾動核查明細'!$L$2:$L$114,"是")</f>
        <v/>
      </c>
      <c r="H5" s="3">
        <f>MAXIFS('468滾動核查明細'!$O$2:$O$114,'468滾動核查明細'!$A$2:$A$114,$A5)</f>
        <v/>
      </c>
      <c r="I5" s="3">
        <f>LOOKUP(2,1/('468滾動核查明細'!$A$2:$A$114=$A5),'468滾動核查明細'!$L$2:$L$114)</f>
        <v/>
      </c>
      <c r="J5" s="3">
        <f>LOOKUP(2,1/('468滾動核查明細'!$A$2:$A$114=$A5),'468滾動核查明細'!$O$2:$O$114)</f>
        <v/>
      </c>
      <c r="K5" s="3">
        <f>IF(J5&gt;=90,"是","否")</f>
        <v/>
      </c>
      <c r="L5" s="3">
        <f>IF(K5="是",ROUND(7*J5/365,1),0)</f>
        <v/>
      </c>
      <c r="M5" s="4" t="inlineStr">
        <is>
          <t>資料僅至3/26即中斷(共26天,未滿4週)，無法判定是否符合468規定；可能已離職或資料不完整，建議與HR核對。</t>
        </is>
      </c>
    </row>
    <row r="6">
      <c r="A6" s="3" t="inlineStr">
        <is>
          <t>P0030</t>
        </is>
      </c>
      <c r="B6" s="3" t="inlineStr">
        <is>
          <t>周夏愉</t>
        </is>
      </c>
      <c r="C6" s="3">
        <f>MINIFS(個人班表!$D$2:$D$785,個人班表!$B$2:$B$785,$A6)</f>
        <v/>
      </c>
      <c r="D6" s="3">
        <f>MAXIFS(個人班表!$D$2:$D$785,個人班表!$B$2:$B$785,$A6)</f>
        <v/>
      </c>
      <c r="E6" s="3">
        <f>DATEDIF(DATEVALUE(SUBSTITUTE($C6,"/","-")),DATEVALUE(SUBSTITUTE($D6,"/","-")),"d")+1</f>
        <v/>
      </c>
      <c r="F6" s="3">
        <f>SUMIFS('468滾動核查明細'!$M$2:$M$114,'468滾動核查明細'!$A$2:$A$114,$A6)</f>
        <v/>
      </c>
      <c r="G6" s="3">
        <f>COUNTIFS('468滾動核查明細'!$A$2:$A$114,$A6,'468滾動核查明細'!$L$2:$L$114,"是")</f>
        <v/>
      </c>
      <c r="H6" s="3">
        <f>MAXIFS('468滾動核查明細'!$O$2:$O$114,'468滾動核查明細'!$A$2:$A$114,$A6)</f>
        <v/>
      </c>
      <c r="I6" s="3">
        <f>LOOKUP(2,1/('468滾動核查明細'!$A$2:$A$114=$A6),'468滾動核查明細'!$L$2:$L$114)</f>
        <v/>
      </c>
      <c r="J6" s="3">
        <f>LOOKUP(2,1/('468滾動核查明細'!$A$2:$A$114=$A6),'468滾動核查明細'!$O$2:$O$114)</f>
        <v/>
      </c>
      <c r="K6" s="3">
        <f>IF(J6&gt;=90,"是","否")</f>
        <v/>
      </c>
      <c r="L6" s="3">
        <f>IF(K6="是",ROUND(7*J6/365,1),0)</f>
        <v/>
      </c>
    </row>
    <row r="7">
      <c r="A7" s="3" t="inlineStr">
        <is>
          <t>P0031</t>
        </is>
      </c>
      <c r="B7" s="3" t="inlineStr">
        <is>
          <t>梁綽恩</t>
        </is>
      </c>
      <c r="C7" s="3">
        <f>MINIFS(個人班表!$D$2:$D$785,個人班表!$B$2:$B$785,$A7)</f>
        <v/>
      </c>
      <c r="D7" s="3">
        <f>MAXIFS(個人班表!$D$2:$D$785,個人班表!$B$2:$B$785,$A7)</f>
        <v/>
      </c>
      <c r="E7" s="3">
        <f>DATEDIF(DATEVALUE(SUBSTITUTE($C7,"/","-")),DATEVALUE(SUBSTITUTE($D7,"/","-")),"d")+1</f>
        <v/>
      </c>
      <c r="F7" s="3">
        <f>SUMIFS('468滾動核查明細'!$M$2:$M$114,'468滾動核查明細'!$A$2:$A$114,$A7)</f>
        <v/>
      </c>
      <c r="G7" s="3">
        <f>COUNTIFS('468滾動核查明細'!$A$2:$A$114,$A7,'468滾動核查明細'!$L$2:$L$114,"是")</f>
        <v/>
      </c>
      <c r="H7" s="3">
        <f>MAXIFS('468滾動核查明細'!$O$2:$O$114,'468滾動核查明細'!$A$2:$A$114,$A7)</f>
        <v/>
      </c>
      <c r="I7" s="3">
        <f>LOOKUP(2,1/('468滾動核查明細'!$A$2:$A$114=$A7),'468滾動核查明細'!$L$2:$L$114)</f>
        <v/>
      </c>
      <c r="J7" s="3">
        <f>LOOKUP(2,1/('468滾動核查明細'!$A$2:$A$114=$A7),'468滾動核查明細'!$O$2:$O$114)</f>
        <v/>
      </c>
      <c r="K7" s="3">
        <f>IF(J7&gt;=90,"是","否")</f>
        <v/>
      </c>
      <c r="L7" s="3">
        <f>IF(K7="是",ROUND(7*J7/365,1),0)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" min="1" max="1"/>
    <col width="10" customWidth="1" style="1" min="2" max="2"/>
    <col width="6" customWidth="1" style="1" min="3" max="3"/>
    <col width="11" customWidth="1" style="1" min="4" max="4"/>
    <col width="11" customWidth="1" style="1" min="5" max="5"/>
    <col width="12" customWidth="1" style="1" min="6" max="6"/>
    <col width="12" customWidth="1" style="1" min="7" max="7"/>
    <col width="10" customWidth="1" style="1" min="8" max="8"/>
    <col width="14" customWidth="1" style="1" min="9" max="9"/>
    <col width="10" customWidth="1" style="1" min="10" max="10"/>
    <col width="10" customWidth="1" style="1" min="11" max="11"/>
    <col width="14" customWidth="1" style="1" min="12" max="12"/>
    <col width="12" customWidth="1" style="1" min="13" max="13"/>
    <col width="14" customWidth="1" style="1" min="14" max="14"/>
    <col width="16" customWidth="1" style="1" min="15" max="15"/>
  </cols>
  <sheetData>
    <row r="1">
      <c r="A1" s="2" t="inlineStr">
        <is>
          <t>工號</t>
        </is>
      </c>
      <c r="B1" s="2" t="inlineStr">
        <is>
          <t>姓名</t>
        </is>
      </c>
      <c r="C1" s="2" t="inlineStr">
        <is>
          <t>週次</t>
        </is>
      </c>
      <c r="D1" s="2" t="inlineStr">
        <is>
          <t>週起始日</t>
        </is>
      </c>
      <c r="E1" s="2" t="inlineStr">
        <is>
          <t>週結束日</t>
        </is>
      </c>
      <c r="F1" s="2" t="inlineStr">
        <is>
          <t>是否為資料末週(未滿7天)</t>
        </is>
      </c>
      <c r="G1" s="2" t="inlineStr">
        <is>
          <t>該週工時合計(小時)</t>
        </is>
      </c>
      <c r="H1" s="2" t="inlineStr">
        <is>
          <t>單週達17小時</t>
        </is>
      </c>
      <c r="I1" s="2" t="inlineStr">
        <is>
          <t>本週+前3週合計(小時)</t>
        </is>
      </c>
      <c r="J1" s="2" t="inlineStr">
        <is>
          <t>4週合計達68小時</t>
        </is>
      </c>
      <c r="K1" s="2" t="inlineStr">
        <is>
          <t>是否已受僱滿4週</t>
        </is>
      </c>
      <c r="L1" s="2" t="inlineStr">
        <is>
          <t>是否符合連續性合約(468規定)</t>
        </is>
      </c>
      <c r="M1" s="2" t="inlineStr">
        <is>
          <t>本週實際計入天數</t>
        </is>
      </c>
      <c r="N1" s="2" t="inlineStr">
        <is>
          <t>員工資料最後日期(輔助)</t>
        </is>
      </c>
      <c r="O1" s="2" t="inlineStr">
        <is>
          <t>本連續期累計天數(遇中斷歸零)</t>
        </is>
      </c>
    </row>
    <row r="2">
      <c r="A2" s="3" t="inlineStr">
        <is>
          <t>P0026</t>
        </is>
      </c>
      <c r="B2" s="3" t="inlineStr">
        <is>
          <t>李芷彤</t>
        </is>
      </c>
      <c r="C2" s="3" t="n">
        <v>1</v>
      </c>
      <c r="D2" s="3" t="inlineStr">
        <is>
          <t>2026/03/01</t>
        </is>
      </c>
      <c r="E2" s="3" t="inlineStr">
        <is>
          <t>2026/03/07</t>
        </is>
      </c>
      <c r="F2" s="3" t="inlineStr">
        <is>
          <t>否</t>
        </is>
      </c>
      <c r="G2" s="3">
        <f>SUMIFS(個人班表!$I$2:$I$784,個人班表!$B$2:$B$784,$A2,個人班表!$D$2:$D$784,"&gt;="&amp;$D2,個人班表!$D$2:$D$784,"&lt;="&amp;$E2)</f>
        <v/>
      </c>
      <c r="H2" s="3">
        <f>IF(G2&gt;=17,"是","否")</f>
        <v/>
      </c>
      <c r="I2" s="3">
        <f>SUM(G2:G2)</f>
        <v/>
      </c>
      <c r="J2" s="3">
        <f>IF(I2&gt;=68,"是","否")</f>
        <v/>
      </c>
      <c r="K2" s="3">
        <f>IF(C2&gt;=4,"是","否")</f>
        <v/>
      </c>
      <c r="L2" s="3">
        <f>IF(AND(K2="是",OR(H2="是",J2="是")),"是","否")</f>
        <v/>
      </c>
      <c r="M2" s="3">
        <f>IF(L2="是",MIN(7,DATEDIF(DATEVALUE(SUBSTITUTE($D2,"/","-")),MIN(DATEVALUE(SUBSTITUTE($E2,"/","-")),DATEVALUE(SUBSTITUTE($N2,"/","-"))),"d")+1),0)</f>
        <v/>
      </c>
      <c r="N2" s="3">
        <f>MAXIFS(個人班表!$D$2:$D$784,個人班表!$B$2:$B$784,$A2)</f>
        <v/>
      </c>
      <c r="O2" s="3">
        <f>IF(L2&lt;&gt;"是",0,M2)</f>
        <v/>
      </c>
    </row>
    <row r="3">
      <c r="A3" s="3" t="inlineStr">
        <is>
          <t>P0026</t>
        </is>
      </c>
      <c r="B3" s="3" t="inlineStr">
        <is>
          <t>李芷彤</t>
        </is>
      </c>
      <c r="C3" s="3" t="n">
        <v>2</v>
      </c>
      <c r="D3" s="3" t="inlineStr">
        <is>
          <t>2026/03/08</t>
        </is>
      </c>
      <c r="E3" s="3" t="inlineStr">
        <is>
          <t>2026/03/14</t>
        </is>
      </c>
      <c r="F3" s="3" t="inlineStr">
        <is>
          <t>否</t>
        </is>
      </c>
      <c r="G3" s="3">
        <f>SUMIFS(個人班表!$I$2:$I$784,個人班表!$B$2:$B$784,$A3,個人班表!$D$2:$D$784,"&gt;="&amp;$D3,個人班表!$D$2:$D$784,"&lt;="&amp;$E3)</f>
        <v/>
      </c>
      <c r="H3" s="3">
        <f>IF(G3&gt;=17,"是","否")</f>
        <v/>
      </c>
      <c r="I3" s="3">
        <f>SUM(G2:G3)</f>
        <v/>
      </c>
      <c r="J3" s="3">
        <f>IF(I3&gt;=68,"是","否")</f>
        <v/>
      </c>
      <c r="K3" s="3">
        <f>IF(C3&gt;=4,"是","否")</f>
        <v/>
      </c>
      <c r="L3" s="3">
        <f>IF(AND(K3="是",OR(H3="是",J3="是")),"是","否")</f>
        <v/>
      </c>
      <c r="M3" s="3">
        <f>IF(L3="是",MIN(7,DATEDIF(DATEVALUE(SUBSTITUTE($D3,"/","-")),MIN(DATEVALUE(SUBSTITUTE($E3,"/","-")),DATEVALUE(SUBSTITUTE($N3,"/","-"))),"d")+1),0)</f>
        <v/>
      </c>
      <c r="N3" s="3">
        <f>MAXIFS(個人班表!$D$2:$D$784,個人班表!$B$2:$B$784,$A3)</f>
        <v/>
      </c>
      <c r="O3" s="3">
        <f>IF(L3&lt;&gt;"是",0,IF(AND($A3=$A2,$L2="是"),O2+M3,M3))</f>
        <v/>
      </c>
    </row>
    <row r="4">
      <c r="A4" s="3" t="inlineStr">
        <is>
          <t>P0026</t>
        </is>
      </c>
      <c r="B4" s="3" t="inlineStr">
        <is>
          <t>李芷彤</t>
        </is>
      </c>
      <c r="C4" s="3" t="n">
        <v>3</v>
      </c>
      <c r="D4" s="3" t="inlineStr">
        <is>
          <t>2026/03/15</t>
        </is>
      </c>
      <c r="E4" s="3" t="inlineStr">
        <is>
          <t>2026/03/21</t>
        </is>
      </c>
      <c r="F4" s="3" t="inlineStr">
        <is>
          <t>否</t>
        </is>
      </c>
      <c r="G4" s="3">
        <f>SUMIFS(個人班表!$I$2:$I$784,個人班表!$B$2:$B$784,$A4,個人班表!$D$2:$D$784,"&gt;="&amp;$D4,個人班表!$D$2:$D$784,"&lt;="&amp;$E4)</f>
        <v/>
      </c>
      <c r="H4" s="3">
        <f>IF(G4&gt;=17,"是","否")</f>
        <v/>
      </c>
      <c r="I4" s="3">
        <f>SUM(G2:G4)</f>
        <v/>
      </c>
      <c r="J4" s="3">
        <f>IF(I4&gt;=68,"是","否")</f>
        <v/>
      </c>
      <c r="K4" s="3">
        <f>IF(C4&gt;=4,"是","否")</f>
        <v/>
      </c>
      <c r="L4" s="3">
        <f>IF(AND(K4="是",OR(H4="是",J4="是")),"是","否")</f>
        <v/>
      </c>
      <c r="M4" s="3">
        <f>IF(L4="是",MIN(7,DATEDIF(DATEVALUE(SUBSTITUTE($D4,"/","-")),MIN(DATEVALUE(SUBSTITUTE($E4,"/","-")),DATEVALUE(SUBSTITUTE($N4,"/","-"))),"d")+1),0)</f>
        <v/>
      </c>
      <c r="N4" s="3">
        <f>MAXIFS(個人班表!$D$2:$D$784,個人班表!$B$2:$B$784,$A4)</f>
        <v/>
      </c>
      <c r="O4" s="3">
        <f>IF(L4&lt;&gt;"是",0,IF(AND($A4=$A3,$L3="是"),O3+M4,M4))</f>
        <v/>
      </c>
    </row>
    <row r="5">
      <c r="A5" s="3" t="inlineStr">
        <is>
          <t>P0026</t>
        </is>
      </c>
      <c r="B5" s="3" t="inlineStr">
        <is>
          <t>李芷彤</t>
        </is>
      </c>
      <c r="C5" s="3" t="n">
        <v>4</v>
      </c>
      <c r="D5" s="3" t="inlineStr">
        <is>
          <t>2026/03/22</t>
        </is>
      </c>
      <c r="E5" s="3" t="inlineStr">
        <is>
          <t>2026/03/28</t>
        </is>
      </c>
      <c r="F5" s="3" t="inlineStr">
        <is>
          <t>否</t>
        </is>
      </c>
      <c r="G5" s="3">
        <f>SUMIFS(個人班表!$I$2:$I$784,個人班表!$B$2:$B$784,$A5,個人班表!$D$2:$D$784,"&gt;="&amp;$D5,個人班表!$D$2:$D$784,"&lt;="&amp;$E5)</f>
        <v/>
      </c>
      <c r="H5" s="3">
        <f>IF(G5&gt;=17,"是","否")</f>
        <v/>
      </c>
      <c r="I5" s="3">
        <f>SUM(G2:G5)</f>
        <v/>
      </c>
      <c r="J5" s="3">
        <f>IF(I5&gt;=68,"是","否")</f>
        <v/>
      </c>
      <c r="K5" s="3">
        <f>IF(C5&gt;=4,"是","否")</f>
        <v/>
      </c>
      <c r="L5" s="3">
        <f>IF(AND(K5="是",OR(H5="是",J5="是")),"是","否")</f>
        <v/>
      </c>
      <c r="M5" s="3">
        <f>IF(L5="是",MIN(7,DATEDIF(DATEVALUE(SUBSTITUTE($D5,"/","-")),MIN(DATEVALUE(SUBSTITUTE($E5,"/","-")),DATEVALUE(SUBSTITUTE($N5,"/","-"))),"d")+1),0)</f>
        <v/>
      </c>
      <c r="N5" s="3">
        <f>MAXIFS(個人班表!$D$2:$D$784,個人班表!$B$2:$B$784,$A5)</f>
        <v/>
      </c>
      <c r="O5" s="3">
        <f>IF(L5&lt;&gt;"是",0,IF(AND($A5=$A4,$L4="是"),O4+M5,M5))</f>
        <v/>
      </c>
    </row>
    <row r="6">
      <c r="A6" s="3" t="inlineStr">
        <is>
          <t>P0026</t>
        </is>
      </c>
      <c r="B6" s="3" t="inlineStr">
        <is>
          <t>李芷彤</t>
        </is>
      </c>
      <c r="C6" s="3" t="n">
        <v>5</v>
      </c>
      <c r="D6" s="3" t="inlineStr">
        <is>
          <t>2026/03/29</t>
        </is>
      </c>
      <c r="E6" s="3" t="inlineStr">
        <is>
          <t>2026/04/04</t>
        </is>
      </c>
      <c r="F6" s="3" t="inlineStr">
        <is>
          <t>否</t>
        </is>
      </c>
      <c r="G6" s="3">
        <f>SUMIFS(個人班表!$I$2:$I$784,個人班表!$B$2:$B$784,$A6,個人班表!$D$2:$D$784,"&gt;="&amp;$D6,個人班表!$D$2:$D$784,"&lt;="&amp;$E6)</f>
        <v/>
      </c>
      <c r="H6" s="3">
        <f>IF(G6&gt;=17,"是","否")</f>
        <v/>
      </c>
      <c r="I6" s="3">
        <f>SUM(G3:G6)</f>
        <v/>
      </c>
      <c r="J6" s="3">
        <f>IF(I6&gt;=68,"是","否")</f>
        <v/>
      </c>
      <c r="K6" s="3">
        <f>IF(C6&gt;=4,"是","否")</f>
        <v/>
      </c>
      <c r="L6" s="3">
        <f>IF(AND(K6="是",OR(H6="是",J6="是")),"是","否")</f>
        <v/>
      </c>
      <c r="M6" s="3">
        <f>IF(L6="是",MIN(7,DATEDIF(DATEVALUE(SUBSTITUTE($D6,"/","-")),MIN(DATEVALUE(SUBSTITUTE($E6,"/","-")),DATEVALUE(SUBSTITUTE($N6,"/","-"))),"d")+1),0)</f>
        <v/>
      </c>
      <c r="N6" s="3">
        <f>MAXIFS(個人班表!$D$2:$D$784,個人班表!$B$2:$B$784,$A6)</f>
        <v/>
      </c>
      <c r="O6" s="3">
        <f>IF(L6&lt;&gt;"是",0,IF(AND($A6=$A5,$L5="是"),O5+M6,M6))</f>
        <v/>
      </c>
    </row>
    <row r="7">
      <c r="A7" s="3" t="inlineStr">
        <is>
          <t>P0026</t>
        </is>
      </c>
      <c r="B7" s="3" t="inlineStr">
        <is>
          <t>李芷彤</t>
        </is>
      </c>
      <c r="C7" s="3" t="n">
        <v>6</v>
      </c>
      <c r="D7" s="3" t="inlineStr">
        <is>
          <t>2026/04/05</t>
        </is>
      </c>
      <c r="E7" s="3" t="inlineStr">
        <is>
          <t>2026/04/11</t>
        </is>
      </c>
      <c r="F7" s="3" t="inlineStr">
        <is>
          <t>否</t>
        </is>
      </c>
      <c r="G7" s="3">
        <f>SUMIFS(個人班表!$I$2:$I$784,個人班表!$B$2:$B$784,$A7,個人班表!$D$2:$D$784,"&gt;="&amp;$D7,個人班表!$D$2:$D$784,"&lt;="&amp;$E7)</f>
        <v/>
      </c>
      <c r="H7" s="3">
        <f>IF(G7&gt;=17,"是","否")</f>
        <v/>
      </c>
      <c r="I7" s="3">
        <f>SUM(G4:G7)</f>
        <v/>
      </c>
      <c r="J7" s="3">
        <f>IF(I7&gt;=68,"是","否")</f>
        <v/>
      </c>
      <c r="K7" s="3">
        <f>IF(C7&gt;=4,"是","否")</f>
        <v/>
      </c>
      <c r="L7" s="3">
        <f>IF(AND(K7="是",OR(H7="是",J7="是")),"是","否")</f>
        <v/>
      </c>
      <c r="M7" s="3">
        <f>IF(L7="是",MIN(7,DATEDIF(DATEVALUE(SUBSTITUTE($D7,"/","-")),MIN(DATEVALUE(SUBSTITUTE($E7,"/","-")),DATEVALUE(SUBSTITUTE($N7,"/","-"))),"d")+1),0)</f>
        <v/>
      </c>
      <c r="N7" s="3">
        <f>MAXIFS(個人班表!$D$2:$D$784,個人班表!$B$2:$B$784,$A7)</f>
        <v/>
      </c>
      <c r="O7" s="3">
        <f>IF(L7&lt;&gt;"是",0,IF(AND($A7=$A6,$L6="是"),O6+M7,M7))</f>
        <v/>
      </c>
    </row>
    <row r="8">
      <c r="A8" s="3" t="inlineStr">
        <is>
          <t>P0026</t>
        </is>
      </c>
      <c r="B8" s="3" t="inlineStr">
        <is>
          <t>李芷彤</t>
        </is>
      </c>
      <c r="C8" s="3" t="n">
        <v>7</v>
      </c>
      <c r="D8" s="3" t="inlineStr">
        <is>
          <t>2026/04/12</t>
        </is>
      </c>
      <c r="E8" s="3" t="inlineStr">
        <is>
          <t>2026/04/18</t>
        </is>
      </c>
      <c r="F8" s="3" t="inlineStr">
        <is>
          <t>否</t>
        </is>
      </c>
      <c r="G8" s="3">
        <f>SUMIFS(個人班表!$I$2:$I$784,個人班表!$B$2:$B$784,$A8,個人班表!$D$2:$D$784,"&gt;="&amp;$D8,個人班表!$D$2:$D$784,"&lt;="&amp;$E8)</f>
        <v/>
      </c>
      <c r="H8" s="3">
        <f>IF(G8&gt;=17,"是","否")</f>
        <v/>
      </c>
      <c r="I8" s="3">
        <f>SUM(G5:G8)</f>
        <v/>
      </c>
      <c r="J8" s="3">
        <f>IF(I8&gt;=68,"是","否")</f>
        <v/>
      </c>
      <c r="K8" s="3">
        <f>IF(C8&gt;=4,"是","否")</f>
        <v/>
      </c>
      <c r="L8" s="3">
        <f>IF(AND(K8="是",OR(H8="是",J8="是")),"是","否")</f>
        <v/>
      </c>
      <c r="M8" s="3">
        <f>IF(L8="是",MIN(7,DATEDIF(DATEVALUE(SUBSTITUTE($D8,"/","-")),MIN(DATEVALUE(SUBSTITUTE($E8,"/","-")),DATEVALUE(SUBSTITUTE($N8,"/","-"))),"d")+1),0)</f>
        <v/>
      </c>
      <c r="N8" s="3">
        <f>MAXIFS(個人班表!$D$2:$D$784,個人班表!$B$2:$B$784,$A8)</f>
        <v/>
      </c>
      <c r="O8" s="3">
        <f>IF(L8&lt;&gt;"是",0,IF(AND($A8=$A7,$L7="是"),O7+M8,M8))</f>
        <v/>
      </c>
    </row>
    <row r="9">
      <c r="A9" s="3" t="inlineStr">
        <is>
          <t>P0026</t>
        </is>
      </c>
      <c r="B9" s="3" t="inlineStr">
        <is>
          <t>李芷彤</t>
        </is>
      </c>
      <c r="C9" s="3" t="n">
        <v>8</v>
      </c>
      <c r="D9" s="3" t="inlineStr">
        <is>
          <t>2026/04/19</t>
        </is>
      </c>
      <c r="E9" s="3" t="inlineStr">
        <is>
          <t>2026/04/25</t>
        </is>
      </c>
      <c r="F9" s="3" t="inlineStr">
        <is>
          <t>否</t>
        </is>
      </c>
      <c r="G9" s="3">
        <f>SUMIFS(個人班表!$I$2:$I$784,個人班表!$B$2:$B$784,$A9,個人班表!$D$2:$D$784,"&gt;="&amp;$D9,個人班表!$D$2:$D$784,"&lt;="&amp;$E9)</f>
        <v/>
      </c>
      <c r="H9" s="3">
        <f>IF(G9&gt;=17,"是","否")</f>
        <v/>
      </c>
      <c r="I9" s="3">
        <f>SUM(G6:G9)</f>
        <v/>
      </c>
      <c r="J9" s="3">
        <f>IF(I9&gt;=68,"是","否")</f>
        <v/>
      </c>
      <c r="K9" s="3">
        <f>IF(C9&gt;=4,"是","否")</f>
        <v/>
      </c>
      <c r="L9" s="3">
        <f>IF(AND(K9="是",OR(H9="是",J9="是")),"是","否")</f>
        <v/>
      </c>
      <c r="M9" s="3">
        <f>IF(L9="是",MIN(7,DATEDIF(DATEVALUE(SUBSTITUTE($D9,"/","-")),MIN(DATEVALUE(SUBSTITUTE($E9,"/","-")),DATEVALUE(SUBSTITUTE($N9,"/","-"))),"d")+1),0)</f>
        <v/>
      </c>
      <c r="N9" s="3">
        <f>MAXIFS(個人班表!$D$2:$D$784,個人班表!$B$2:$B$784,$A9)</f>
        <v/>
      </c>
      <c r="O9" s="3">
        <f>IF(L9&lt;&gt;"是",0,IF(AND($A9=$A8,$L8="是"),O8+M9,M9))</f>
        <v/>
      </c>
    </row>
    <row r="10">
      <c r="A10" s="3" t="inlineStr">
        <is>
          <t>P0026</t>
        </is>
      </c>
      <c r="B10" s="3" t="inlineStr">
        <is>
          <t>李芷彤</t>
        </is>
      </c>
      <c r="C10" s="3" t="n">
        <v>9</v>
      </c>
      <c r="D10" s="3" t="inlineStr">
        <is>
          <t>2026/04/26</t>
        </is>
      </c>
      <c r="E10" s="3" t="inlineStr">
        <is>
          <t>2026/05/02</t>
        </is>
      </c>
      <c r="F10" s="3" t="inlineStr">
        <is>
          <t>否</t>
        </is>
      </c>
      <c r="G10" s="3">
        <f>SUMIFS(個人班表!$I$2:$I$784,個人班表!$B$2:$B$784,$A10,個人班表!$D$2:$D$784,"&gt;="&amp;$D10,個人班表!$D$2:$D$784,"&lt;="&amp;$E10)</f>
        <v/>
      </c>
      <c r="H10" s="3">
        <f>IF(G10&gt;=17,"是","否")</f>
        <v/>
      </c>
      <c r="I10" s="3">
        <f>SUM(G7:G10)</f>
        <v/>
      </c>
      <c r="J10" s="3">
        <f>IF(I10&gt;=68,"是","否")</f>
        <v/>
      </c>
      <c r="K10" s="3">
        <f>IF(C10&gt;=4,"是","否")</f>
        <v/>
      </c>
      <c r="L10" s="3">
        <f>IF(AND(K10="是",OR(H10="是",J10="是")),"是","否")</f>
        <v/>
      </c>
      <c r="M10" s="3">
        <f>IF(L10="是",MIN(7,DATEDIF(DATEVALUE(SUBSTITUTE($D10,"/","-")),MIN(DATEVALUE(SUBSTITUTE($E10,"/","-")),DATEVALUE(SUBSTITUTE($N10,"/","-"))),"d")+1),0)</f>
        <v/>
      </c>
      <c r="N10" s="3">
        <f>MAXIFS(個人班表!$D$2:$D$784,個人班表!$B$2:$B$784,$A10)</f>
        <v/>
      </c>
      <c r="O10" s="3">
        <f>IF(L10&lt;&gt;"是",0,IF(AND($A10=$A9,$L9="是"),O9+M10,M10))</f>
        <v/>
      </c>
    </row>
    <row r="11">
      <c r="A11" s="3" t="inlineStr">
        <is>
          <t>P0026</t>
        </is>
      </c>
      <c r="B11" s="3" t="inlineStr">
        <is>
          <t>李芷彤</t>
        </is>
      </c>
      <c r="C11" s="3" t="n">
        <v>10</v>
      </c>
      <c r="D11" s="3" t="inlineStr">
        <is>
          <t>2026/05/03</t>
        </is>
      </c>
      <c r="E11" s="3" t="inlineStr">
        <is>
          <t>2026/05/09</t>
        </is>
      </c>
      <c r="F11" s="3" t="inlineStr">
        <is>
          <t>否</t>
        </is>
      </c>
      <c r="G11" s="3">
        <f>SUMIFS(個人班表!$I$2:$I$784,個人班表!$B$2:$B$784,$A11,個人班表!$D$2:$D$784,"&gt;="&amp;$D11,個人班表!$D$2:$D$784,"&lt;="&amp;$E11)</f>
        <v/>
      </c>
      <c r="H11" s="3">
        <f>IF(G11&gt;=17,"是","否")</f>
        <v/>
      </c>
      <c r="I11" s="3">
        <f>SUM(G8:G11)</f>
        <v/>
      </c>
      <c r="J11" s="3">
        <f>IF(I11&gt;=68,"是","否")</f>
        <v/>
      </c>
      <c r="K11" s="3">
        <f>IF(C11&gt;=4,"是","否")</f>
        <v/>
      </c>
      <c r="L11" s="3">
        <f>IF(AND(K11="是",OR(H11="是",J11="是")),"是","否")</f>
        <v/>
      </c>
      <c r="M11" s="3">
        <f>IF(L11="是",MIN(7,DATEDIF(DATEVALUE(SUBSTITUTE($D11,"/","-")),MIN(DATEVALUE(SUBSTITUTE($E11,"/","-")),DATEVALUE(SUBSTITUTE($N11,"/","-"))),"d")+1),0)</f>
        <v/>
      </c>
      <c r="N11" s="3">
        <f>MAXIFS(個人班表!$D$2:$D$784,個人班表!$B$2:$B$784,$A11)</f>
        <v/>
      </c>
      <c r="O11" s="3">
        <f>IF(L11&lt;&gt;"是",0,IF(AND($A11=$A10,$L10="是"),O10+M11,M11))</f>
        <v/>
      </c>
    </row>
    <row r="12">
      <c r="A12" s="3" t="inlineStr">
        <is>
          <t>P0026</t>
        </is>
      </c>
      <c r="B12" s="3" t="inlineStr">
        <is>
          <t>李芷彤</t>
        </is>
      </c>
      <c r="C12" s="3" t="n">
        <v>11</v>
      </c>
      <c r="D12" s="3" t="inlineStr">
        <is>
          <t>2026/05/10</t>
        </is>
      </c>
      <c r="E12" s="3" t="inlineStr">
        <is>
          <t>2026/05/16</t>
        </is>
      </c>
      <c r="F12" s="3" t="inlineStr">
        <is>
          <t>否</t>
        </is>
      </c>
      <c r="G12" s="3">
        <f>SUMIFS(個人班表!$I$2:$I$784,個人班表!$B$2:$B$784,$A12,個人班表!$D$2:$D$784,"&gt;="&amp;$D12,個人班表!$D$2:$D$784,"&lt;="&amp;$E12)</f>
        <v/>
      </c>
      <c r="H12" s="3">
        <f>IF(G12&gt;=17,"是","否")</f>
        <v/>
      </c>
      <c r="I12" s="3">
        <f>SUM(G9:G12)</f>
        <v/>
      </c>
      <c r="J12" s="3">
        <f>IF(I12&gt;=68,"是","否")</f>
        <v/>
      </c>
      <c r="K12" s="3">
        <f>IF(C12&gt;=4,"是","否")</f>
        <v/>
      </c>
      <c r="L12" s="3">
        <f>IF(AND(K12="是",OR(H12="是",J12="是")),"是","否")</f>
        <v/>
      </c>
      <c r="M12" s="3">
        <f>IF(L12="是",MIN(7,DATEDIF(DATEVALUE(SUBSTITUTE($D12,"/","-")),MIN(DATEVALUE(SUBSTITUTE($E12,"/","-")),DATEVALUE(SUBSTITUTE($N12,"/","-"))),"d")+1),0)</f>
        <v/>
      </c>
      <c r="N12" s="3">
        <f>MAXIFS(個人班表!$D$2:$D$784,個人班表!$B$2:$B$784,$A12)</f>
        <v/>
      </c>
      <c r="O12" s="3">
        <f>IF(L12&lt;&gt;"是",0,IF(AND($A12=$A11,$L11="是"),O11+M12,M12))</f>
        <v/>
      </c>
    </row>
    <row r="13">
      <c r="A13" s="3" t="inlineStr">
        <is>
          <t>P0026</t>
        </is>
      </c>
      <c r="B13" s="3" t="inlineStr">
        <is>
          <t>李芷彤</t>
        </is>
      </c>
      <c r="C13" s="3" t="n">
        <v>12</v>
      </c>
      <c r="D13" s="3" t="inlineStr">
        <is>
          <t>2026/05/17</t>
        </is>
      </c>
      <c r="E13" s="3" t="inlineStr">
        <is>
          <t>2026/05/23</t>
        </is>
      </c>
      <c r="F13" s="3" t="inlineStr">
        <is>
          <t>否</t>
        </is>
      </c>
      <c r="G13" s="3">
        <f>SUMIFS(個人班表!$I$2:$I$784,個人班表!$B$2:$B$784,$A13,個人班表!$D$2:$D$784,"&gt;="&amp;$D13,個人班表!$D$2:$D$784,"&lt;="&amp;$E13)</f>
        <v/>
      </c>
      <c r="H13" s="3">
        <f>IF(G13&gt;=17,"是","否")</f>
        <v/>
      </c>
      <c r="I13" s="3">
        <f>SUM(G10:G13)</f>
        <v/>
      </c>
      <c r="J13" s="3">
        <f>IF(I13&gt;=68,"是","否")</f>
        <v/>
      </c>
      <c r="K13" s="3">
        <f>IF(C13&gt;=4,"是","否")</f>
        <v/>
      </c>
      <c r="L13" s="3">
        <f>IF(AND(K13="是",OR(H13="是",J13="是")),"是","否")</f>
        <v/>
      </c>
      <c r="M13" s="3">
        <f>IF(L13="是",MIN(7,DATEDIF(DATEVALUE(SUBSTITUTE($D13,"/","-")),MIN(DATEVALUE(SUBSTITUTE($E13,"/","-")),DATEVALUE(SUBSTITUTE($N13,"/","-"))),"d")+1),0)</f>
        <v/>
      </c>
      <c r="N13" s="3">
        <f>MAXIFS(個人班表!$D$2:$D$784,個人班表!$B$2:$B$784,$A13)</f>
        <v/>
      </c>
      <c r="O13" s="3">
        <f>IF(L13&lt;&gt;"是",0,IF(AND($A13=$A12,$L12="是"),O12+M13,M13))</f>
        <v/>
      </c>
    </row>
    <row r="14">
      <c r="A14" s="3" t="inlineStr">
        <is>
          <t>P0026</t>
        </is>
      </c>
      <c r="B14" s="3" t="inlineStr">
        <is>
          <t>李芷彤</t>
        </is>
      </c>
      <c r="C14" s="3" t="n">
        <v>13</v>
      </c>
      <c r="D14" s="3" t="inlineStr">
        <is>
          <t>2026/05/24</t>
        </is>
      </c>
      <c r="E14" s="3" t="inlineStr">
        <is>
          <t>2026/05/30</t>
        </is>
      </c>
      <c r="F14" s="3" t="inlineStr">
        <is>
          <t>否</t>
        </is>
      </c>
      <c r="G14" s="3">
        <f>SUMIFS(個人班表!$I$2:$I$784,個人班表!$B$2:$B$784,$A14,個人班表!$D$2:$D$784,"&gt;="&amp;$D14,個人班表!$D$2:$D$784,"&lt;="&amp;$E14)</f>
        <v/>
      </c>
      <c r="H14" s="3">
        <f>IF(G14&gt;=17,"是","否")</f>
        <v/>
      </c>
      <c r="I14" s="3">
        <f>SUM(G11:G14)</f>
        <v/>
      </c>
      <c r="J14" s="3">
        <f>IF(I14&gt;=68,"是","否")</f>
        <v/>
      </c>
      <c r="K14" s="3">
        <f>IF(C14&gt;=4,"是","否")</f>
        <v/>
      </c>
      <c r="L14" s="3">
        <f>IF(AND(K14="是",OR(H14="是",J14="是")),"是","否")</f>
        <v/>
      </c>
      <c r="M14" s="3">
        <f>IF(L14="是",MIN(7,DATEDIF(DATEVALUE(SUBSTITUTE($D14,"/","-")),MIN(DATEVALUE(SUBSTITUTE($E14,"/","-")),DATEVALUE(SUBSTITUTE($N14,"/","-"))),"d")+1),0)</f>
        <v/>
      </c>
      <c r="N14" s="3">
        <f>MAXIFS(個人班表!$D$2:$D$784,個人班表!$B$2:$B$784,$A14)</f>
        <v/>
      </c>
      <c r="O14" s="3">
        <f>IF(L14&lt;&gt;"是",0,IF(AND($A14=$A13,$L13="是"),O13+M14,M14))</f>
        <v/>
      </c>
    </row>
    <row r="15">
      <c r="A15" s="3" t="inlineStr">
        <is>
          <t>P0026</t>
        </is>
      </c>
      <c r="B15" s="3" t="inlineStr">
        <is>
          <t>李芷彤</t>
        </is>
      </c>
      <c r="C15" s="3" t="n">
        <v>14</v>
      </c>
      <c r="D15" s="3" t="inlineStr">
        <is>
          <t>2026/05/31</t>
        </is>
      </c>
      <c r="E15" s="3" t="inlineStr">
        <is>
          <t>2026/06/06</t>
        </is>
      </c>
      <c r="F15" s="3" t="inlineStr">
        <is>
          <t>否</t>
        </is>
      </c>
      <c r="G15" s="3">
        <f>SUMIFS(個人班表!$I$2:$I$784,個人班表!$B$2:$B$784,$A15,個人班表!$D$2:$D$784,"&gt;="&amp;$D15,個人班表!$D$2:$D$784,"&lt;="&amp;$E15)</f>
        <v/>
      </c>
      <c r="H15" s="3">
        <f>IF(G15&gt;=17,"是","否")</f>
        <v/>
      </c>
      <c r="I15" s="3">
        <f>SUM(G12:G15)</f>
        <v/>
      </c>
      <c r="J15" s="3">
        <f>IF(I15&gt;=68,"是","否")</f>
        <v/>
      </c>
      <c r="K15" s="3">
        <f>IF(C15&gt;=4,"是","否")</f>
        <v/>
      </c>
      <c r="L15" s="3">
        <f>IF(AND(K15="是",OR(H15="是",J15="是")),"是","否")</f>
        <v/>
      </c>
      <c r="M15" s="3">
        <f>IF(L15="是",MIN(7,DATEDIF(DATEVALUE(SUBSTITUTE($D15,"/","-")),MIN(DATEVALUE(SUBSTITUTE($E15,"/","-")),DATEVALUE(SUBSTITUTE($N15,"/","-"))),"d")+1),0)</f>
        <v/>
      </c>
      <c r="N15" s="3">
        <f>MAXIFS(個人班表!$D$2:$D$784,個人班表!$B$2:$B$784,$A15)</f>
        <v/>
      </c>
      <c r="O15" s="3">
        <f>IF(L15&lt;&gt;"是",0,IF(AND($A15=$A14,$L14="是"),O14+M15,M15))</f>
        <v/>
      </c>
    </row>
    <row r="16">
      <c r="A16" s="3" t="inlineStr">
        <is>
          <t>P0026</t>
        </is>
      </c>
      <c r="B16" s="3" t="inlineStr">
        <is>
          <t>李芷彤</t>
        </is>
      </c>
      <c r="C16" s="3" t="n">
        <v>15</v>
      </c>
      <c r="D16" s="3" t="inlineStr">
        <is>
          <t>2026/06/07</t>
        </is>
      </c>
      <c r="E16" s="3" t="inlineStr">
        <is>
          <t>2026/06/13</t>
        </is>
      </c>
      <c r="F16" s="3" t="inlineStr">
        <is>
          <t>否</t>
        </is>
      </c>
      <c r="G16" s="3">
        <f>SUMIFS(個人班表!$I$2:$I$784,個人班表!$B$2:$B$784,$A16,個人班表!$D$2:$D$784,"&gt;="&amp;$D16,個人班表!$D$2:$D$784,"&lt;="&amp;$E16)</f>
        <v/>
      </c>
      <c r="H16" s="3">
        <f>IF(G16&gt;=17,"是","否")</f>
        <v/>
      </c>
      <c r="I16" s="3">
        <f>SUM(G13:G16)</f>
        <v/>
      </c>
      <c r="J16" s="3">
        <f>IF(I16&gt;=68,"是","否")</f>
        <v/>
      </c>
      <c r="K16" s="3">
        <f>IF(C16&gt;=4,"是","否")</f>
        <v/>
      </c>
      <c r="L16" s="3">
        <f>IF(AND(K16="是",OR(H16="是",J16="是")),"是","否")</f>
        <v/>
      </c>
      <c r="M16" s="3">
        <f>IF(L16="是",MIN(7,DATEDIF(DATEVALUE(SUBSTITUTE($D16,"/","-")),MIN(DATEVALUE(SUBSTITUTE($E16,"/","-")),DATEVALUE(SUBSTITUTE($N16,"/","-"))),"d")+1),0)</f>
        <v/>
      </c>
      <c r="N16" s="3">
        <f>MAXIFS(個人班表!$D$2:$D$784,個人班表!$B$2:$B$784,$A16)</f>
        <v/>
      </c>
      <c r="O16" s="3">
        <f>IF(L16&lt;&gt;"是",0,IF(AND($A16=$A15,$L15="是"),O15+M16,M16))</f>
        <v/>
      </c>
    </row>
    <row r="17">
      <c r="A17" s="3" t="inlineStr">
        <is>
          <t>P0026</t>
        </is>
      </c>
      <c r="B17" s="3" t="inlineStr">
        <is>
          <t>李芷彤</t>
        </is>
      </c>
      <c r="C17" s="3" t="n">
        <v>16</v>
      </c>
      <c r="D17" s="3" t="inlineStr">
        <is>
          <t>2026/06/14</t>
        </is>
      </c>
      <c r="E17" s="3" t="inlineStr">
        <is>
          <t>2026/06/20</t>
        </is>
      </c>
      <c r="F17" s="3" t="inlineStr">
        <is>
          <t>否</t>
        </is>
      </c>
      <c r="G17" s="3">
        <f>SUMIFS(個人班表!$I$2:$I$784,個人班表!$B$2:$B$784,$A17,個人班表!$D$2:$D$784,"&gt;="&amp;$D17,個人班表!$D$2:$D$784,"&lt;="&amp;$E17)</f>
        <v/>
      </c>
      <c r="H17" s="3">
        <f>IF(G17&gt;=17,"是","否")</f>
        <v/>
      </c>
      <c r="I17" s="3">
        <f>SUM(G14:G17)</f>
        <v/>
      </c>
      <c r="J17" s="3">
        <f>IF(I17&gt;=68,"是","否")</f>
        <v/>
      </c>
      <c r="K17" s="3">
        <f>IF(C17&gt;=4,"是","否")</f>
        <v/>
      </c>
      <c r="L17" s="3">
        <f>IF(AND(K17="是",OR(H17="是",J17="是")),"是","否")</f>
        <v/>
      </c>
      <c r="M17" s="3">
        <f>IF(L17="是",MIN(7,DATEDIF(DATEVALUE(SUBSTITUTE($D17,"/","-")),MIN(DATEVALUE(SUBSTITUTE($E17,"/","-")),DATEVALUE(SUBSTITUTE($N17,"/","-"))),"d")+1),0)</f>
        <v/>
      </c>
      <c r="N17" s="3">
        <f>MAXIFS(個人班表!$D$2:$D$784,個人班表!$B$2:$B$784,$A17)</f>
        <v/>
      </c>
      <c r="O17" s="3">
        <f>IF(L17&lt;&gt;"是",0,IF(AND($A17=$A16,$L16="是"),O16+M17,M17))</f>
        <v/>
      </c>
    </row>
    <row r="18">
      <c r="A18" s="3" t="inlineStr">
        <is>
          <t>P0026</t>
        </is>
      </c>
      <c r="B18" s="3" t="inlineStr">
        <is>
          <t>李芷彤</t>
        </is>
      </c>
      <c r="C18" s="3" t="n">
        <v>17</v>
      </c>
      <c r="D18" s="3" t="inlineStr">
        <is>
          <t>2026/06/21</t>
        </is>
      </c>
      <c r="E18" s="3" t="inlineStr">
        <is>
          <t>2026/06/27</t>
        </is>
      </c>
      <c r="F18" s="3" t="inlineStr">
        <is>
          <t>否</t>
        </is>
      </c>
      <c r="G18" s="3">
        <f>SUMIFS(個人班表!$I$2:$I$784,個人班表!$B$2:$B$784,$A18,個人班表!$D$2:$D$784,"&gt;="&amp;$D18,個人班表!$D$2:$D$784,"&lt;="&amp;$E18)</f>
        <v/>
      </c>
      <c r="H18" s="3">
        <f>IF(G18&gt;=17,"是","否")</f>
        <v/>
      </c>
      <c r="I18" s="3">
        <f>SUM(G15:G18)</f>
        <v/>
      </c>
      <c r="J18" s="3">
        <f>IF(I18&gt;=68,"是","否")</f>
        <v/>
      </c>
      <c r="K18" s="3">
        <f>IF(C18&gt;=4,"是","否")</f>
        <v/>
      </c>
      <c r="L18" s="3">
        <f>IF(AND(K18="是",OR(H18="是",J18="是")),"是","否")</f>
        <v/>
      </c>
      <c r="M18" s="3">
        <f>IF(L18="是",MIN(7,DATEDIF(DATEVALUE(SUBSTITUTE($D18,"/","-")),MIN(DATEVALUE(SUBSTITUTE($E18,"/","-")),DATEVALUE(SUBSTITUTE($N18,"/","-"))),"d")+1),0)</f>
        <v/>
      </c>
      <c r="N18" s="3">
        <f>MAXIFS(個人班表!$D$2:$D$784,個人班表!$B$2:$B$784,$A18)</f>
        <v/>
      </c>
      <c r="O18" s="3">
        <f>IF(L18&lt;&gt;"是",0,IF(AND($A18=$A17,$L17="是"),O17+M18,M18))</f>
        <v/>
      </c>
    </row>
    <row r="19">
      <c r="A19" s="3" t="inlineStr">
        <is>
          <t>P0026</t>
        </is>
      </c>
      <c r="B19" s="3" t="inlineStr">
        <is>
          <t>李芷彤</t>
        </is>
      </c>
      <c r="C19" s="3" t="n">
        <v>18</v>
      </c>
      <c r="D19" s="3" t="inlineStr">
        <is>
          <t>2026/06/28</t>
        </is>
      </c>
      <c r="E19" s="3" t="inlineStr">
        <is>
          <t>2026/07/04</t>
        </is>
      </c>
      <c r="F19" s="3" t="inlineStr">
        <is>
          <t>否</t>
        </is>
      </c>
      <c r="G19" s="3">
        <f>SUMIFS(個人班表!$I$2:$I$784,個人班表!$B$2:$B$784,$A19,個人班表!$D$2:$D$784,"&gt;="&amp;$D19,個人班表!$D$2:$D$784,"&lt;="&amp;$E19)</f>
        <v/>
      </c>
      <c r="H19" s="3">
        <f>IF(G19&gt;=17,"是","否")</f>
        <v/>
      </c>
      <c r="I19" s="3">
        <f>SUM(G16:G19)</f>
        <v/>
      </c>
      <c r="J19" s="3">
        <f>IF(I19&gt;=68,"是","否")</f>
        <v/>
      </c>
      <c r="K19" s="3">
        <f>IF(C19&gt;=4,"是","否")</f>
        <v/>
      </c>
      <c r="L19" s="3">
        <f>IF(AND(K19="是",OR(H19="是",J19="是")),"是","否")</f>
        <v/>
      </c>
      <c r="M19" s="3">
        <f>IF(L19="是",MIN(7,DATEDIF(DATEVALUE(SUBSTITUTE($D19,"/","-")),MIN(DATEVALUE(SUBSTITUTE($E19,"/","-")),DATEVALUE(SUBSTITUTE($N19,"/","-"))),"d")+1),0)</f>
        <v/>
      </c>
      <c r="N19" s="3">
        <f>MAXIFS(個人班表!$D$2:$D$784,個人班表!$B$2:$B$784,$A19)</f>
        <v/>
      </c>
      <c r="O19" s="3">
        <f>IF(L19&lt;&gt;"是",0,IF(AND($A19=$A18,$L18="是"),O18+M19,M19))</f>
        <v/>
      </c>
    </row>
    <row r="20">
      <c r="A20" s="3" t="inlineStr">
        <is>
          <t>P0026</t>
        </is>
      </c>
      <c r="B20" s="3" t="inlineStr">
        <is>
          <t>李芷彤</t>
        </is>
      </c>
      <c r="C20" s="3" t="n">
        <v>19</v>
      </c>
      <c r="D20" s="3" t="inlineStr">
        <is>
          <t>2026/07/05</t>
        </is>
      </c>
      <c r="E20" s="3" t="inlineStr">
        <is>
          <t>2026/07/11</t>
        </is>
      </c>
      <c r="F20" s="3" t="inlineStr">
        <is>
          <t>否</t>
        </is>
      </c>
      <c r="G20" s="3">
        <f>SUMIFS(個人班表!$I$2:$I$784,個人班表!$B$2:$B$784,$A20,個人班表!$D$2:$D$784,"&gt;="&amp;$D20,個人班表!$D$2:$D$784,"&lt;="&amp;$E20)</f>
        <v/>
      </c>
      <c r="H20" s="3">
        <f>IF(G20&gt;=17,"是","否")</f>
        <v/>
      </c>
      <c r="I20" s="3">
        <f>SUM(G17:G20)</f>
        <v/>
      </c>
      <c r="J20" s="3">
        <f>IF(I20&gt;=68,"是","否")</f>
        <v/>
      </c>
      <c r="K20" s="3">
        <f>IF(C20&gt;=4,"是","否")</f>
        <v/>
      </c>
      <c r="L20" s="3">
        <f>IF(AND(K20="是",OR(H20="是",J20="是")),"是","否")</f>
        <v/>
      </c>
      <c r="M20" s="3">
        <f>IF(L20="是",MIN(7,DATEDIF(DATEVALUE(SUBSTITUTE($D20,"/","-")),MIN(DATEVALUE(SUBSTITUTE($E20,"/","-")),DATEVALUE(SUBSTITUTE($N20,"/","-"))),"d")+1),0)</f>
        <v/>
      </c>
      <c r="N20" s="3">
        <f>MAXIFS(個人班表!$D$2:$D$784,個人班表!$B$2:$B$784,$A20)</f>
        <v/>
      </c>
      <c r="O20" s="3">
        <f>IF(L20&lt;&gt;"是",0,IF(AND($A20=$A19,$L19="是"),O19+M20,M20))</f>
        <v/>
      </c>
    </row>
    <row r="21">
      <c r="A21" s="3" t="inlineStr">
        <is>
          <t>P0026</t>
        </is>
      </c>
      <c r="B21" s="3" t="inlineStr">
        <is>
          <t>李芷彤</t>
        </is>
      </c>
      <c r="C21" s="3" t="n">
        <v>20</v>
      </c>
      <c r="D21" s="3" t="inlineStr">
        <is>
          <t>2026/07/12</t>
        </is>
      </c>
      <c r="E21" s="3" t="inlineStr">
        <is>
          <t>2026/07/18</t>
        </is>
      </c>
      <c r="F21" s="3" t="inlineStr">
        <is>
          <t>否</t>
        </is>
      </c>
      <c r="G21" s="3">
        <f>SUMIFS(個人班表!$I$2:$I$784,個人班表!$B$2:$B$784,$A21,個人班表!$D$2:$D$784,"&gt;="&amp;$D21,個人班表!$D$2:$D$784,"&lt;="&amp;$E21)</f>
        <v/>
      </c>
      <c r="H21" s="3">
        <f>IF(G21&gt;=17,"是","否")</f>
        <v/>
      </c>
      <c r="I21" s="3">
        <f>SUM(G18:G21)</f>
        <v/>
      </c>
      <c r="J21" s="3">
        <f>IF(I21&gt;=68,"是","否")</f>
        <v/>
      </c>
      <c r="K21" s="3">
        <f>IF(C21&gt;=4,"是","否")</f>
        <v/>
      </c>
      <c r="L21" s="3">
        <f>IF(AND(K21="是",OR(H21="是",J21="是")),"是","否")</f>
        <v/>
      </c>
      <c r="M21" s="3">
        <f>IF(L21="是",MIN(7,DATEDIF(DATEVALUE(SUBSTITUTE($D21,"/","-")),MIN(DATEVALUE(SUBSTITUTE($E21,"/","-")),DATEVALUE(SUBSTITUTE($N21,"/","-"))),"d")+1),0)</f>
        <v/>
      </c>
      <c r="N21" s="3">
        <f>MAXIFS(個人班表!$D$2:$D$784,個人班表!$B$2:$B$784,$A21)</f>
        <v/>
      </c>
      <c r="O21" s="3">
        <f>IF(L21&lt;&gt;"是",0,IF(AND($A21=$A20,$L20="是"),O20+M21,M21))</f>
        <v/>
      </c>
    </row>
    <row r="22">
      <c r="A22" s="3" t="inlineStr">
        <is>
          <t>P0026</t>
        </is>
      </c>
      <c r="B22" s="3" t="inlineStr">
        <is>
          <t>李芷彤</t>
        </is>
      </c>
      <c r="C22" s="3" t="n">
        <v>21</v>
      </c>
      <c r="D22" s="3" t="inlineStr">
        <is>
          <t>2026/07/19</t>
        </is>
      </c>
      <c r="E22" s="3" t="inlineStr">
        <is>
          <t>2026/07/25</t>
        </is>
      </c>
      <c r="F22" s="3" t="inlineStr">
        <is>
          <t>否</t>
        </is>
      </c>
      <c r="G22" s="3">
        <f>SUMIFS(個人班表!$I$2:$I$784,個人班表!$B$2:$B$784,$A22,個人班表!$D$2:$D$784,"&gt;="&amp;$D22,個人班表!$D$2:$D$784,"&lt;="&amp;$E22)</f>
        <v/>
      </c>
      <c r="H22" s="3">
        <f>IF(G22&gt;=17,"是","否")</f>
        <v/>
      </c>
      <c r="I22" s="3">
        <f>SUM(G19:G22)</f>
        <v/>
      </c>
      <c r="J22" s="3">
        <f>IF(I22&gt;=68,"是","否")</f>
        <v/>
      </c>
      <c r="K22" s="3">
        <f>IF(C22&gt;=4,"是","否")</f>
        <v/>
      </c>
      <c r="L22" s="3">
        <f>IF(AND(K22="是",OR(H22="是",J22="是")),"是","否")</f>
        <v/>
      </c>
      <c r="M22" s="3">
        <f>IF(L22="是",MIN(7,DATEDIF(DATEVALUE(SUBSTITUTE($D22,"/","-")),MIN(DATEVALUE(SUBSTITUTE($E22,"/","-")),DATEVALUE(SUBSTITUTE($N22,"/","-"))),"d")+1),0)</f>
        <v/>
      </c>
      <c r="N22" s="3">
        <f>MAXIFS(個人班表!$D$2:$D$784,個人班表!$B$2:$B$784,$A22)</f>
        <v/>
      </c>
      <c r="O22" s="3">
        <f>IF(L22&lt;&gt;"是",0,IF(AND($A22=$A21,$L21="是"),O21+M22,M22))</f>
        <v/>
      </c>
    </row>
    <row r="23">
      <c r="A23" s="3" t="inlineStr">
        <is>
          <t>P0026</t>
        </is>
      </c>
      <c r="B23" s="3" t="inlineStr">
        <is>
          <t>李芷彤</t>
        </is>
      </c>
      <c r="C23" s="3" t="n">
        <v>22</v>
      </c>
      <c r="D23" s="3" t="inlineStr">
        <is>
          <t>2026/07/26</t>
        </is>
      </c>
      <c r="E23" s="3" t="inlineStr">
        <is>
          <t>2026/08/01</t>
        </is>
      </c>
      <c r="F23" s="3" t="inlineStr">
        <is>
          <t>是</t>
        </is>
      </c>
      <c r="G23" s="3">
        <f>SUMIFS(個人班表!$I$2:$I$784,個人班表!$B$2:$B$784,$A23,個人班表!$D$2:$D$784,"&gt;="&amp;$D23,個人班表!$D$2:$D$784,"&lt;="&amp;$E23)</f>
        <v/>
      </c>
      <c r="H23" s="3">
        <f>IF(G23&gt;=17,"是","否")</f>
        <v/>
      </c>
      <c r="I23" s="3">
        <f>SUM(G20:G23)</f>
        <v/>
      </c>
      <c r="J23" s="3">
        <f>IF(I23&gt;=68,"是","否")</f>
        <v/>
      </c>
      <c r="K23" s="3">
        <f>IF(C23&gt;=4,"是","否")</f>
        <v/>
      </c>
      <c r="L23" s="3">
        <f>IF(AND(K23="是",OR(H23="是",J23="是")),"是","否")</f>
        <v/>
      </c>
      <c r="M23" s="3">
        <f>IF(L23="是",MIN(7,DATEDIF(DATEVALUE(SUBSTITUTE($D23,"/","-")),MIN(DATEVALUE(SUBSTITUTE($E23,"/","-")),DATEVALUE(SUBSTITUTE($N23,"/","-"))),"d")+1),0)</f>
        <v/>
      </c>
      <c r="N23" s="3">
        <f>MAXIFS(個人班表!$D$2:$D$784,個人班表!$B$2:$B$784,$A23)</f>
        <v/>
      </c>
      <c r="O23" s="3">
        <f>IF(L23&lt;&gt;"是",0,IF(AND($A23=$A22,$L22="是"),O22+M23,M23))</f>
        <v/>
      </c>
    </row>
    <row r="24">
      <c r="A24" s="3" t="inlineStr">
        <is>
          <t>P0027</t>
        </is>
      </c>
      <c r="B24" s="3" t="inlineStr">
        <is>
          <t>陳詩祺</t>
        </is>
      </c>
      <c r="C24" s="3" t="n">
        <v>1</v>
      </c>
      <c r="D24" s="3" t="inlineStr">
        <is>
          <t>2026/03/01</t>
        </is>
      </c>
      <c r="E24" s="3" t="inlineStr">
        <is>
          <t>2026/03/07</t>
        </is>
      </c>
      <c r="F24" s="3" t="inlineStr">
        <is>
          <t>否</t>
        </is>
      </c>
      <c r="G24" s="3">
        <f>SUMIFS(個人班表!$I$2:$I$784,個人班表!$B$2:$B$784,$A24,個人班表!$D$2:$D$784,"&gt;="&amp;$D24,個人班表!$D$2:$D$784,"&lt;="&amp;$E24)</f>
        <v/>
      </c>
      <c r="H24" s="3">
        <f>IF(G24&gt;=17,"是","否")</f>
        <v/>
      </c>
      <c r="I24" s="3">
        <f>SUM(G24:G24)</f>
        <v/>
      </c>
      <c r="J24" s="3">
        <f>IF(I24&gt;=68,"是","否")</f>
        <v/>
      </c>
      <c r="K24" s="3">
        <f>IF(C24&gt;=4,"是","否")</f>
        <v/>
      </c>
      <c r="L24" s="3">
        <f>IF(AND(K24="是",OR(H24="是",J24="是")),"是","否")</f>
        <v/>
      </c>
      <c r="M24" s="3">
        <f>IF(L24="是",MIN(7,DATEDIF(DATEVALUE(SUBSTITUTE($D24,"/","-")),MIN(DATEVALUE(SUBSTITUTE($E24,"/","-")),DATEVALUE(SUBSTITUTE($N24,"/","-"))),"d")+1),0)</f>
        <v/>
      </c>
      <c r="N24" s="3">
        <f>MAXIFS(個人班表!$D$2:$D$784,個人班表!$B$2:$B$784,$A24)</f>
        <v/>
      </c>
      <c r="O24" s="3">
        <f>IF(L24&lt;&gt;"是",0,M24)</f>
        <v/>
      </c>
    </row>
    <row r="25">
      <c r="A25" s="3" t="inlineStr">
        <is>
          <t>P0027</t>
        </is>
      </c>
      <c r="B25" s="3" t="inlineStr">
        <is>
          <t>陳詩祺</t>
        </is>
      </c>
      <c r="C25" s="3" t="n">
        <v>2</v>
      </c>
      <c r="D25" s="3" t="inlineStr">
        <is>
          <t>2026/03/08</t>
        </is>
      </c>
      <c r="E25" s="3" t="inlineStr">
        <is>
          <t>2026/03/14</t>
        </is>
      </c>
      <c r="F25" s="3" t="inlineStr">
        <is>
          <t>否</t>
        </is>
      </c>
      <c r="G25" s="3">
        <f>SUMIFS(個人班表!$I$2:$I$784,個人班表!$B$2:$B$784,$A25,個人班表!$D$2:$D$784,"&gt;="&amp;$D25,個人班表!$D$2:$D$784,"&lt;="&amp;$E25)</f>
        <v/>
      </c>
      <c r="H25" s="3">
        <f>IF(G25&gt;=17,"是","否")</f>
        <v/>
      </c>
      <c r="I25" s="3">
        <f>SUM(G24:G25)</f>
        <v/>
      </c>
      <c r="J25" s="3">
        <f>IF(I25&gt;=68,"是","否")</f>
        <v/>
      </c>
      <c r="K25" s="3">
        <f>IF(C25&gt;=4,"是","否")</f>
        <v/>
      </c>
      <c r="L25" s="3">
        <f>IF(AND(K25="是",OR(H25="是",J25="是")),"是","否")</f>
        <v/>
      </c>
      <c r="M25" s="3">
        <f>IF(L25="是",MIN(7,DATEDIF(DATEVALUE(SUBSTITUTE($D25,"/","-")),MIN(DATEVALUE(SUBSTITUTE($E25,"/","-")),DATEVALUE(SUBSTITUTE($N25,"/","-"))),"d")+1),0)</f>
        <v/>
      </c>
      <c r="N25" s="3">
        <f>MAXIFS(個人班表!$D$2:$D$784,個人班表!$B$2:$B$784,$A25)</f>
        <v/>
      </c>
      <c r="O25" s="3">
        <f>IF(L25&lt;&gt;"是",0,IF(AND($A25=$A24,$L24="是"),O24+M25,M25))</f>
        <v/>
      </c>
    </row>
    <row r="26">
      <c r="A26" s="3" t="inlineStr">
        <is>
          <t>P0027</t>
        </is>
      </c>
      <c r="B26" s="3" t="inlineStr">
        <is>
          <t>陳詩祺</t>
        </is>
      </c>
      <c r="C26" s="3" t="n">
        <v>3</v>
      </c>
      <c r="D26" s="3" t="inlineStr">
        <is>
          <t>2026/03/15</t>
        </is>
      </c>
      <c r="E26" s="3" t="inlineStr">
        <is>
          <t>2026/03/21</t>
        </is>
      </c>
      <c r="F26" s="3" t="inlineStr">
        <is>
          <t>否</t>
        </is>
      </c>
      <c r="G26" s="3">
        <f>SUMIFS(個人班表!$I$2:$I$784,個人班表!$B$2:$B$784,$A26,個人班表!$D$2:$D$784,"&gt;="&amp;$D26,個人班表!$D$2:$D$784,"&lt;="&amp;$E26)</f>
        <v/>
      </c>
      <c r="H26" s="3">
        <f>IF(G26&gt;=17,"是","否")</f>
        <v/>
      </c>
      <c r="I26" s="3">
        <f>SUM(G24:G26)</f>
        <v/>
      </c>
      <c r="J26" s="3">
        <f>IF(I26&gt;=68,"是","否")</f>
        <v/>
      </c>
      <c r="K26" s="3">
        <f>IF(C26&gt;=4,"是","否")</f>
        <v/>
      </c>
      <c r="L26" s="3">
        <f>IF(AND(K26="是",OR(H26="是",J26="是")),"是","否")</f>
        <v/>
      </c>
      <c r="M26" s="3">
        <f>IF(L26="是",MIN(7,DATEDIF(DATEVALUE(SUBSTITUTE($D26,"/","-")),MIN(DATEVALUE(SUBSTITUTE($E26,"/","-")),DATEVALUE(SUBSTITUTE($N26,"/","-"))),"d")+1),0)</f>
        <v/>
      </c>
      <c r="N26" s="3">
        <f>MAXIFS(個人班表!$D$2:$D$784,個人班表!$B$2:$B$784,$A26)</f>
        <v/>
      </c>
      <c r="O26" s="3">
        <f>IF(L26&lt;&gt;"是",0,IF(AND($A26=$A25,$L25="是"),O25+M26,M26))</f>
        <v/>
      </c>
    </row>
    <row r="27">
      <c r="A27" s="3" t="inlineStr">
        <is>
          <t>P0027</t>
        </is>
      </c>
      <c r="B27" s="3" t="inlineStr">
        <is>
          <t>陳詩祺</t>
        </is>
      </c>
      <c r="C27" s="3" t="n">
        <v>4</v>
      </c>
      <c r="D27" s="3" t="inlineStr">
        <is>
          <t>2026/03/22</t>
        </is>
      </c>
      <c r="E27" s="3" t="inlineStr">
        <is>
          <t>2026/03/28</t>
        </is>
      </c>
      <c r="F27" s="3" t="inlineStr">
        <is>
          <t>否</t>
        </is>
      </c>
      <c r="G27" s="3">
        <f>SUMIFS(個人班表!$I$2:$I$784,個人班表!$B$2:$B$784,$A27,個人班表!$D$2:$D$784,"&gt;="&amp;$D27,個人班表!$D$2:$D$784,"&lt;="&amp;$E27)</f>
        <v/>
      </c>
      <c r="H27" s="3">
        <f>IF(G27&gt;=17,"是","否")</f>
        <v/>
      </c>
      <c r="I27" s="3">
        <f>SUM(G24:G27)</f>
        <v/>
      </c>
      <c r="J27" s="3">
        <f>IF(I27&gt;=68,"是","否")</f>
        <v/>
      </c>
      <c r="K27" s="3">
        <f>IF(C27&gt;=4,"是","否")</f>
        <v/>
      </c>
      <c r="L27" s="3">
        <f>IF(AND(K27="是",OR(H27="是",J27="是")),"是","否")</f>
        <v/>
      </c>
      <c r="M27" s="3">
        <f>IF(L27="是",MIN(7,DATEDIF(DATEVALUE(SUBSTITUTE($D27,"/","-")),MIN(DATEVALUE(SUBSTITUTE($E27,"/","-")),DATEVALUE(SUBSTITUTE($N27,"/","-"))),"d")+1),0)</f>
        <v/>
      </c>
      <c r="N27" s="3">
        <f>MAXIFS(個人班表!$D$2:$D$784,個人班表!$B$2:$B$784,$A27)</f>
        <v/>
      </c>
      <c r="O27" s="3">
        <f>IF(L27&lt;&gt;"是",0,IF(AND($A27=$A26,$L26="是"),O26+M27,M27))</f>
        <v/>
      </c>
    </row>
    <row r="28">
      <c r="A28" s="3" t="inlineStr">
        <is>
          <t>P0027</t>
        </is>
      </c>
      <c r="B28" s="3" t="inlineStr">
        <is>
          <t>陳詩祺</t>
        </is>
      </c>
      <c r="C28" s="3" t="n">
        <v>5</v>
      </c>
      <c r="D28" s="3" t="inlineStr">
        <is>
          <t>2026/03/29</t>
        </is>
      </c>
      <c r="E28" s="3" t="inlineStr">
        <is>
          <t>2026/04/04</t>
        </is>
      </c>
      <c r="F28" s="3" t="inlineStr">
        <is>
          <t>否</t>
        </is>
      </c>
      <c r="G28" s="3">
        <f>SUMIFS(個人班表!$I$2:$I$784,個人班表!$B$2:$B$784,$A28,個人班表!$D$2:$D$784,"&gt;="&amp;$D28,個人班表!$D$2:$D$784,"&lt;="&amp;$E28)</f>
        <v/>
      </c>
      <c r="H28" s="3">
        <f>IF(G28&gt;=17,"是","否")</f>
        <v/>
      </c>
      <c r="I28" s="3">
        <f>SUM(G25:G28)</f>
        <v/>
      </c>
      <c r="J28" s="3">
        <f>IF(I28&gt;=68,"是","否")</f>
        <v/>
      </c>
      <c r="K28" s="3">
        <f>IF(C28&gt;=4,"是","否")</f>
        <v/>
      </c>
      <c r="L28" s="3">
        <f>IF(AND(K28="是",OR(H28="是",J28="是")),"是","否")</f>
        <v/>
      </c>
      <c r="M28" s="3">
        <f>IF(L28="是",MIN(7,DATEDIF(DATEVALUE(SUBSTITUTE($D28,"/","-")),MIN(DATEVALUE(SUBSTITUTE($E28,"/","-")),DATEVALUE(SUBSTITUTE($N28,"/","-"))),"d")+1),0)</f>
        <v/>
      </c>
      <c r="N28" s="3">
        <f>MAXIFS(個人班表!$D$2:$D$784,個人班表!$B$2:$B$784,$A28)</f>
        <v/>
      </c>
      <c r="O28" s="3">
        <f>IF(L28&lt;&gt;"是",0,IF(AND($A28=$A27,$L27="是"),O27+M28,M28))</f>
        <v/>
      </c>
    </row>
    <row r="29">
      <c r="A29" s="3" t="inlineStr">
        <is>
          <t>P0027</t>
        </is>
      </c>
      <c r="B29" s="3" t="inlineStr">
        <is>
          <t>陳詩祺</t>
        </is>
      </c>
      <c r="C29" s="3" t="n">
        <v>6</v>
      </c>
      <c r="D29" s="3" t="inlineStr">
        <is>
          <t>2026/04/05</t>
        </is>
      </c>
      <c r="E29" s="3" t="inlineStr">
        <is>
          <t>2026/04/11</t>
        </is>
      </c>
      <c r="F29" s="3" t="inlineStr">
        <is>
          <t>否</t>
        </is>
      </c>
      <c r="G29" s="3">
        <f>SUMIFS(個人班表!$I$2:$I$784,個人班表!$B$2:$B$784,$A29,個人班表!$D$2:$D$784,"&gt;="&amp;$D29,個人班表!$D$2:$D$784,"&lt;="&amp;$E29)</f>
        <v/>
      </c>
      <c r="H29" s="3">
        <f>IF(G29&gt;=17,"是","否")</f>
        <v/>
      </c>
      <c r="I29" s="3">
        <f>SUM(G26:G29)</f>
        <v/>
      </c>
      <c r="J29" s="3">
        <f>IF(I29&gt;=68,"是","否")</f>
        <v/>
      </c>
      <c r="K29" s="3">
        <f>IF(C29&gt;=4,"是","否")</f>
        <v/>
      </c>
      <c r="L29" s="3">
        <f>IF(AND(K29="是",OR(H29="是",J29="是")),"是","否")</f>
        <v/>
      </c>
      <c r="M29" s="3">
        <f>IF(L29="是",MIN(7,DATEDIF(DATEVALUE(SUBSTITUTE($D29,"/","-")),MIN(DATEVALUE(SUBSTITUTE($E29,"/","-")),DATEVALUE(SUBSTITUTE($N29,"/","-"))),"d")+1),0)</f>
        <v/>
      </c>
      <c r="N29" s="3">
        <f>MAXIFS(個人班表!$D$2:$D$784,個人班表!$B$2:$B$784,$A29)</f>
        <v/>
      </c>
      <c r="O29" s="3">
        <f>IF(L29&lt;&gt;"是",0,IF(AND($A29=$A28,$L28="是"),O28+M29,M29))</f>
        <v/>
      </c>
    </row>
    <row r="30">
      <c r="A30" s="3" t="inlineStr">
        <is>
          <t>P0027</t>
        </is>
      </c>
      <c r="B30" s="3" t="inlineStr">
        <is>
          <t>陳詩祺</t>
        </is>
      </c>
      <c r="C30" s="3" t="n">
        <v>7</v>
      </c>
      <c r="D30" s="3" t="inlineStr">
        <is>
          <t>2026/04/12</t>
        </is>
      </c>
      <c r="E30" s="3" t="inlineStr">
        <is>
          <t>2026/04/18</t>
        </is>
      </c>
      <c r="F30" s="3" t="inlineStr">
        <is>
          <t>否</t>
        </is>
      </c>
      <c r="G30" s="3">
        <f>SUMIFS(個人班表!$I$2:$I$784,個人班表!$B$2:$B$784,$A30,個人班表!$D$2:$D$784,"&gt;="&amp;$D30,個人班表!$D$2:$D$784,"&lt;="&amp;$E30)</f>
        <v/>
      </c>
      <c r="H30" s="3">
        <f>IF(G30&gt;=17,"是","否")</f>
        <v/>
      </c>
      <c r="I30" s="3">
        <f>SUM(G27:G30)</f>
        <v/>
      </c>
      <c r="J30" s="3">
        <f>IF(I30&gt;=68,"是","否")</f>
        <v/>
      </c>
      <c r="K30" s="3">
        <f>IF(C30&gt;=4,"是","否")</f>
        <v/>
      </c>
      <c r="L30" s="3">
        <f>IF(AND(K30="是",OR(H30="是",J30="是")),"是","否")</f>
        <v/>
      </c>
      <c r="M30" s="3">
        <f>IF(L30="是",MIN(7,DATEDIF(DATEVALUE(SUBSTITUTE($D30,"/","-")),MIN(DATEVALUE(SUBSTITUTE($E30,"/","-")),DATEVALUE(SUBSTITUTE($N30,"/","-"))),"d")+1),0)</f>
        <v/>
      </c>
      <c r="N30" s="3">
        <f>MAXIFS(個人班表!$D$2:$D$784,個人班表!$B$2:$B$784,$A30)</f>
        <v/>
      </c>
      <c r="O30" s="3">
        <f>IF(L30&lt;&gt;"是",0,IF(AND($A30=$A29,$L29="是"),O29+M30,M30))</f>
        <v/>
      </c>
    </row>
    <row r="31">
      <c r="A31" s="3" t="inlineStr">
        <is>
          <t>P0027</t>
        </is>
      </c>
      <c r="B31" s="3" t="inlineStr">
        <is>
          <t>陳詩祺</t>
        </is>
      </c>
      <c r="C31" s="3" t="n">
        <v>8</v>
      </c>
      <c r="D31" s="3" t="inlineStr">
        <is>
          <t>2026/04/19</t>
        </is>
      </c>
      <c r="E31" s="3" t="inlineStr">
        <is>
          <t>2026/04/25</t>
        </is>
      </c>
      <c r="F31" s="3" t="inlineStr">
        <is>
          <t>否</t>
        </is>
      </c>
      <c r="G31" s="3">
        <f>SUMIFS(個人班表!$I$2:$I$784,個人班表!$B$2:$B$784,$A31,個人班表!$D$2:$D$784,"&gt;="&amp;$D31,個人班表!$D$2:$D$784,"&lt;="&amp;$E31)</f>
        <v/>
      </c>
      <c r="H31" s="3">
        <f>IF(G31&gt;=17,"是","否")</f>
        <v/>
      </c>
      <c r="I31" s="3">
        <f>SUM(G28:G31)</f>
        <v/>
      </c>
      <c r="J31" s="3">
        <f>IF(I31&gt;=68,"是","否")</f>
        <v/>
      </c>
      <c r="K31" s="3">
        <f>IF(C31&gt;=4,"是","否")</f>
        <v/>
      </c>
      <c r="L31" s="3">
        <f>IF(AND(K31="是",OR(H31="是",J31="是")),"是","否")</f>
        <v/>
      </c>
      <c r="M31" s="3">
        <f>IF(L31="是",MIN(7,DATEDIF(DATEVALUE(SUBSTITUTE($D31,"/","-")),MIN(DATEVALUE(SUBSTITUTE($E31,"/","-")),DATEVALUE(SUBSTITUTE($N31,"/","-"))),"d")+1),0)</f>
        <v/>
      </c>
      <c r="N31" s="3">
        <f>MAXIFS(個人班表!$D$2:$D$784,個人班表!$B$2:$B$784,$A31)</f>
        <v/>
      </c>
      <c r="O31" s="3">
        <f>IF(L31&lt;&gt;"是",0,IF(AND($A31=$A30,$L30="是"),O30+M31,M31))</f>
        <v/>
      </c>
    </row>
    <row r="32">
      <c r="A32" s="3" t="inlineStr">
        <is>
          <t>P0027</t>
        </is>
      </c>
      <c r="B32" s="3" t="inlineStr">
        <is>
          <t>陳詩祺</t>
        </is>
      </c>
      <c r="C32" s="3" t="n">
        <v>9</v>
      </c>
      <c r="D32" s="3" t="inlineStr">
        <is>
          <t>2026/04/26</t>
        </is>
      </c>
      <c r="E32" s="3" t="inlineStr">
        <is>
          <t>2026/05/02</t>
        </is>
      </c>
      <c r="F32" s="3" t="inlineStr">
        <is>
          <t>否</t>
        </is>
      </c>
      <c r="G32" s="3">
        <f>SUMIFS(個人班表!$I$2:$I$784,個人班表!$B$2:$B$784,$A32,個人班表!$D$2:$D$784,"&gt;="&amp;$D32,個人班表!$D$2:$D$784,"&lt;="&amp;$E32)</f>
        <v/>
      </c>
      <c r="H32" s="3">
        <f>IF(G32&gt;=17,"是","否")</f>
        <v/>
      </c>
      <c r="I32" s="3">
        <f>SUM(G29:G32)</f>
        <v/>
      </c>
      <c r="J32" s="3">
        <f>IF(I32&gt;=68,"是","否")</f>
        <v/>
      </c>
      <c r="K32" s="3">
        <f>IF(C32&gt;=4,"是","否")</f>
        <v/>
      </c>
      <c r="L32" s="3">
        <f>IF(AND(K32="是",OR(H32="是",J32="是")),"是","否")</f>
        <v/>
      </c>
      <c r="M32" s="3">
        <f>IF(L32="是",MIN(7,DATEDIF(DATEVALUE(SUBSTITUTE($D32,"/","-")),MIN(DATEVALUE(SUBSTITUTE($E32,"/","-")),DATEVALUE(SUBSTITUTE($N32,"/","-"))),"d")+1),0)</f>
        <v/>
      </c>
      <c r="N32" s="3">
        <f>MAXIFS(個人班表!$D$2:$D$784,個人班表!$B$2:$B$784,$A32)</f>
        <v/>
      </c>
      <c r="O32" s="3">
        <f>IF(L32&lt;&gt;"是",0,IF(AND($A32=$A31,$L31="是"),O31+M32,M32))</f>
        <v/>
      </c>
    </row>
    <row r="33">
      <c r="A33" s="3" t="inlineStr">
        <is>
          <t>P0027</t>
        </is>
      </c>
      <c r="B33" s="3" t="inlineStr">
        <is>
          <t>陳詩祺</t>
        </is>
      </c>
      <c r="C33" s="3" t="n">
        <v>10</v>
      </c>
      <c r="D33" s="3" t="inlineStr">
        <is>
          <t>2026/05/03</t>
        </is>
      </c>
      <c r="E33" s="3" t="inlineStr">
        <is>
          <t>2026/05/09</t>
        </is>
      </c>
      <c r="F33" s="3" t="inlineStr">
        <is>
          <t>否</t>
        </is>
      </c>
      <c r="G33" s="3">
        <f>SUMIFS(個人班表!$I$2:$I$784,個人班表!$B$2:$B$784,$A33,個人班表!$D$2:$D$784,"&gt;="&amp;$D33,個人班表!$D$2:$D$784,"&lt;="&amp;$E33)</f>
        <v/>
      </c>
      <c r="H33" s="3">
        <f>IF(G33&gt;=17,"是","否")</f>
        <v/>
      </c>
      <c r="I33" s="3">
        <f>SUM(G30:G33)</f>
        <v/>
      </c>
      <c r="J33" s="3">
        <f>IF(I33&gt;=68,"是","否")</f>
        <v/>
      </c>
      <c r="K33" s="3">
        <f>IF(C33&gt;=4,"是","否")</f>
        <v/>
      </c>
      <c r="L33" s="3">
        <f>IF(AND(K33="是",OR(H33="是",J33="是")),"是","否")</f>
        <v/>
      </c>
      <c r="M33" s="3">
        <f>IF(L33="是",MIN(7,DATEDIF(DATEVALUE(SUBSTITUTE($D33,"/","-")),MIN(DATEVALUE(SUBSTITUTE($E33,"/","-")),DATEVALUE(SUBSTITUTE($N33,"/","-"))),"d")+1),0)</f>
        <v/>
      </c>
      <c r="N33" s="3">
        <f>MAXIFS(個人班表!$D$2:$D$784,個人班表!$B$2:$B$784,$A33)</f>
        <v/>
      </c>
      <c r="O33" s="3">
        <f>IF(L33&lt;&gt;"是",0,IF(AND($A33=$A32,$L32="是"),O32+M33,M33))</f>
        <v/>
      </c>
    </row>
    <row r="34">
      <c r="A34" s="3" t="inlineStr">
        <is>
          <t>P0027</t>
        </is>
      </c>
      <c r="B34" s="3" t="inlineStr">
        <is>
          <t>陳詩祺</t>
        </is>
      </c>
      <c r="C34" s="3" t="n">
        <v>11</v>
      </c>
      <c r="D34" s="3" t="inlineStr">
        <is>
          <t>2026/05/10</t>
        </is>
      </c>
      <c r="E34" s="3" t="inlineStr">
        <is>
          <t>2026/05/16</t>
        </is>
      </c>
      <c r="F34" s="3" t="inlineStr">
        <is>
          <t>否</t>
        </is>
      </c>
      <c r="G34" s="3">
        <f>SUMIFS(個人班表!$I$2:$I$784,個人班表!$B$2:$B$784,$A34,個人班表!$D$2:$D$784,"&gt;="&amp;$D34,個人班表!$D$2:$D$784,"&lt;="&amp;$E34)</f>
        <v/>
      </c>
      <c r="H34" s="3">
        <f>IF(G34&gt;=17,"是","否")</f>
        <v/>
      </c>
      <c r="I34" s="3">
        <f>SUM(G31:G34)</f>
        <v/>
      </c>
      <c r="J34" s="3">
        <f>IF(I34&gt;=68,"是","否")</f>
        <v/>
      </c>
      <c r="K34" s="3">
        <f>IF(C34&gt;=4,"是","否")</f>
        <v/>
      </c>
      <c r="L34" s="3">
        <f>IF(AND(K34="是",OR(H34="是",J34="是")),"是","否")</f>
        <v/>
      </c>
      <c r="M34" s="3">
        <f>IF(L34="是",MIN(7,DATEDIF(DATEVALUE(SUBSTITUTE($D34,"/","-")),MIN(DATEVALUE(SUBSTITUTE($E34,"/","-")),DATEVALUE(SUBSTITUTE($N34,"/","-"))),"d")+1),0)</f>
        <v/>
      </c>
      <c r="N34" s="3">
        <f>MAXIFS(個人班表!$D$2:$D$784,個人班表!$B$2:$B$784,$A34)</f>
        <v/>
      </c>
      <c r="O34" s="3">
        <f>IF(L34&lt;&gt;"是",0,IF(AND($A34=$A33,$L33="是"),O33+M34,M34))</f>
        <v/>
      </c>
    </row>
    <row r="35">
      <c r="A35" s="3" t="inlineStr">
        <is>
          <t>P0027</t>
        </is>
      </c>
      <c r="B35" s="3" t="inlineStr">
        <is>
          <t>陳詩祺</t>
        </is>
      </c>
      <c r="C35" s="3" t="n">
        <v>12</v>
      </c>
      <c r="D35" s="3" t="inlineStr">
        <is>
          <t>2026/05/17</t>
        </is>
      </c>
      <c r="E35" s="3" t="inlineStr">
        <is>
          <t>2026/05/23</t>
        </is>
      </c>
      <c r="F35" s="3" t="inlineStr">
        <is>
          <t>否</t>
        </is>
      </c>
      <c r="G35" s="3">
        <f>SUMIFS(個人班表!$I$2:$I$784,個人班表!$B$2:$B$784,$A35,個人班表!$D$2:$D$784,"&gt;="&amp;$D35,個人班表!$D$2:$D$784,"&lt;="&amp;$E35)</f>
        <v/>
      </c>
      <c r="H35" s="3">
        <f>IF(G35&gt;=17,"是","否")</f>
        <v/>
      </c>
      <c r="I35" s="3">
        <f>SUM(G32:G35)</f>
        <v/>
      </c>
      <c r="J35" s="3">
        <f>IF(I35&gt;=68,"是","否")</f>
        <v/>
      </c>
      <c r="K35" s="3">
        <f>IF(C35&gt;=4,"是","否")</f>
        <v/>
      </c>
      <c r="L35" s="3">
        <f>IF(AND(K35="是",OR(H35="是",J35="是")),"是","否")</f>
        <v/>
      </c>
      <c r="M35" s="3">
        <f>IF(L35="是",MIN(7,DATEDIF(DATEVALUE(SUBSTITUTE($D35,"/","-")),MIN(DATEVALUE(SUBSTITUTE($E35,"/","-")),DATEVALUE(SUBSTITUTE($N35,"/","-"))),"d")+1),0)</f>
        <v/>
      </c>
      <c r="N35" s="3">
        <f>MAXIFS(個人班表!$D$2:$D$784,個人班表!$B$2:$B$784,$A35)</f>
        <v/>
      </c>
      <c r="O35" s="3">
        <f>IF(L35&lt;&gt;"是",0,IF(AND($A35=$A34,$L34="是"),O34+M35,M35))</f>
        <v/>
      </c>
    </row>
    <row r="36">
      <c r="A36" s="3" t="inlineStr">
        <is>
          <t>P0027</t>
        </is>
      </c>
      <c r="B36" s="3" t="inlineStr">
        <is>
          <t>陳詩祺</t>
        </is>
      </c>
      <c r="C36" s="3" t="n">
        <v>13</v>
      </c>
      <c r="D36" s="3" t="inlineStr">
        <is>
          <t>2026/05/24</t>
        </is>
      </c>
      <c r="E36" s="3" t="inlineStr">
        <is>
          <t>2026/05/30</t>
        </is>
      </c>
      <c r="F36" s="3" t="inlineStr">
        <is>
          <t>否</t>
        </is>
      </c>
      <c r="G36" s="3">
        <f>SUMIFS(個人班表!$I$2:$I$784,個人班表!$B$2:$B$784,$A36,個人班表!$D$2:$D$784,"&gt;="&amp;$D36,個人班表!$D$2:$D$784,"&lt;="&amp;$E36)</f>
        <v/>
      </c>
      <c r="H36" s="3">
        <f>IF(G36&gt;=17,"是","否")</f>
        <v/>
      </c>
      <c r="I36" s="3">
        <f>SUM(G33:G36)</f>
        <v/>
      </c>
      <c r="J36" s="3">
        <f>IF(I36&gt;=68,"是","否")</f>
        <v/>
      </c>
      <c r="K36" s="3">
        <f>IF(C36&gt;=4,"是","否")</f>
        <v/>
      </c>
      <c r="L36" s="3">
        <f>IF(AND(K36="是",OR(H36="是",J36="是")),"是","否")</f>
        <v/>
      </c>
      <c r="M36" s="3">
        <f>IF(L36="是",MIN(7,DATEDIF(DATEVALUE(SUBSTITUTE($D36,"/","-")),MIN(DATEVALUE(SUBSTITUTE($E36,"/","-")),DATEVALUE(SUBSTITUTE($N36,"/","-"))),"d")+1),0)</f>
        <v/>
      </c>
      <c r="N36" s="3">
        <f>MAXIFS(個人班表!$D$2:$D$784,個人班表!$B$2:$B$784,$A36)</f>
        <v/>
      </c>
      <c r="O36" s="3">
        <f>IF(L36&lt;&gt;"是",0,IF(AND($A36=$A35,$L35="是"),O35+M36,M36))</f>
        <v/>
      </c>
    </row>
    <row r="37">
      <c r="A37" s="3" t="inlineStr">
        <is>
          <t>P0027</t>
        </is>
      </c>
      <c r="B37" s="3" t="inlineStr">
        <is>
          <t>陳詩祺</t>
        </is>
      </c>
      <c r="C37" s="3" t="n">
        <v>14</v>
      </c>
      <c r="D37" s="3" t="inlineStr">
        <is>
          <t>2026/05/31</t>
        </is>
      </c>
      <c r="E37" s="3" t="inlineStr">
        <is>
          <t>2026/06/06</t>
        </is>
      </c>
      <c r="F37" s="3" t="inlineStr">
        <is>
          <t>否</t>
        </is>
      </c>
      <c r="G37" s="3">
        <f>SUMIFS(個人班表!$I$2:$I$784,個人班表!$B$2:$B$784,$A37,個人班表!$D$2:$D$784,"&gt;="&amp;$D37,個人班表!$D$2:$D$784,"&lt;="&amp;$E37)</f>
        <v/>
      </c>
      <c r="H37" s="3">
        <f>IF(G37&gt;=17,"是","否")</f>
        <v/>
      </c>
      <c r="I37" s="3">
        <f>SUM(G34:G37)</f>
        <v/>
      </c>
      <c r="J37" s="3">
        <f>IF(I37&gt;=68,"是","否")</f>
        <v/>
      </c>
      <c r="K37" s="3">
        <f>IF(C37&gt;=4,"是","否")</f>
        <v/>
      </c>
      <c r="L37" s="3">
        <f>IF(AND(K37="是",OR(H37="是",J37="是")),"是","否")</f>
        <v/>
      </c>
      <c r="M37" s="3">
        <f>IF(L37="是",MIN(7,DATEDIF(DATEVALUE(SUBSTITUTE($D37,"/","-")),MIN(DATEVALUE(SUBSTITUTE($E37,"/","-")),DATEVALUE(SUBSTITUTE($N37,"/","-"))),"d")+1),0)</f>
        <v/>
      </c>
      <c r="N37" s="3">
        <f>MAXIFS(個人班表!$D$2:$D$784,個人班表!$B$2:$B$784,$A37)</f>
        <v/>
      </c>
      <c r="O37" s="3">
        <f>IF(L37&lt;&gt;"是",0,IF(AND($A37=$A36,$L36="是"),O36+M37,M37))</f>
        <v/>
      </c>
    </row>
    <row r="38">
      <c r="A38" s="3" t="inlineStr">
        <is>
          <t>P0027</t>
        </is>
      </c>
      <c r="B38" s="3" t="inlineStr">
        <is>
          <t>陳詩祺</t>
        </is>
      </c>
      <c r="C38" s="3" t="n">
        <v>15</v>
      </c>
      <c r="D38" s="3" t="inlineStr">
        <is>
          <t>2026/06/07</t>
        </is>
      </c>
      <c r="E38" s="3" t="inlineStr">
        <is>
          <t>2026/06/13</t>
        </is>
      </c>
      <c r="F38" s="3" t="inlineStr">
        <is>
          <t>否</t>
        </is>
      </c>
      <c r="G38" s="3">
        <f>SUMIFS(個人班表!$I$2:$I$784,個人班表!$B$2:$B$784,$A38,個人班表!$D$2:$D$784,"&gt;="&amp;$D38,個人班表!$D$2:$D$784,"&lt;="&amp;$E38)</f>
        <v/>
      </c>
      <c r="H38" s="3">
        <f>IF(G38&gt;=17,"是","否")</f>
        <v/>
      </c>
      <c r="I38" s="3">
        <f>SUM(G35:G38)</f>
        <v/>
      </c>
      <c r="J38" s="3">
        <f>IF(I38&gt;=68,"是","否")</f>
        <v/>
      </c>
      <c r="K38" s="3">
        <f>IF(C38&gt;=4,"是","否")</f>
        <v/>
      </c>
      <c r="L38" s="3">
        <f>IF(AND(K38="是",OR(H38="是",J38="是")),"是","否")</f>
        <v/>
      </c>
      <c r="M38" s="3">
        <f>IF(L38="是",MIN(7,DATEDIF(DATEVALUE(SUBSTITUTE($D38,"/","-")),MIN(DATEVALUE(SUBSTITUTE($E38,"/","-")),DATEVALUE(SUBSTITUTE($N38,"/","-"))),"d")+1),0)</f>
        <v/>
      </c>
      <c r="N38" s="3">
        <f>MAXIFS(個人班表!$D$2:$D$784,個人班表!$B$2:$B$784,$A38)</f>
        <v/>
      </c>
      <c r="O38" s="3">
        <f>IF(L38&lt;&gt;"是",0,IF(AND($A38=$A37,$L37="是"),O37+M38,M38))</f>
        <v/>
      </c>
    </row>
    <row r="39">
      <c r="A39" s="3" t="inlineStr">
        <is>
          <t>P0027</t>
        </is>
      </c>
      <c r="B39" s="3" t="inlineStr">
        <is>
          <t>陳詩祺</t>
        </is>
      </c>
      <c r="C39" s="3" t="n">
        <v>16</v>
      </c>
      <c r="D39" s="3" t="inlineStr">
        <is>
          <t>2026/06/14</t>
        </is>
      </c>
      <c r="E39" s="3" t="inlineStr">
        <is>
          <t>2026/06/20</t>
        </is>
      </c>
      <c r="F39" s="3" t="inlineStr">
        <is>
          <t>否</t>
        </is>
      </c>
      <c r="G39" s="3">
        <f>SUMIFS(個人班表!$I$2:$I$784,個人班表!$B$2:$B$784,$A39,個人班表!$D$2:$D$784,"&gt;="&amp;$D39,個人班表!$D$2:$D$784,"&lt;="&amp;$E39)</f>
        <v/>
      </c>
      <c r="H39" s="3">
        <f>IF(G39&gt;=17,"是","否")</f>
        <v/>
      </c>
      <c r="I39" s="3">
        <f>SUM(G36:G39)</f>
        <v/>
      </c>
      <c r="J39" s="3">
        <f>IF(I39&gt;=68,"是","否")</f>
        <v/>
      </c>
      <c r="K39" s="3">
        <f>IF(C39&gt;=4,"是","否")</f>
        <v/>
      </c>
      <c r="L39" s="3">
        <f>IF(AND(K39="是",OR(H39="是",J39="是")),"是","否")</f>
        <v/>
      </c>
      <c r="M39" s="3">
        <f>IF(L39="是",MIN(7,DATEDIF(DATEVALUE(SUBSTITUTE($D39,"/","-")),MIN(DATEVALUE(SUBSTITUTE($E39,"/","-")),DATEVALUE(SUBSTITUTE($N39,"/","-"))),"d")+1),0)</f>
        <v/>
      </c>
      <c r="N39" s="3">
        <f>MAXIFS(個人班表!$D$2:$D$784,個人班表!$B$2:$B$784,$A39)</f>
        <v/>
      </c>
      <c r="O39" s="3">
        <f>IF(L39&lt;&gt;"是",0,IF(AND($A39=$A38,$L38="是"),O38+M39,M39))</f>
        <v/>
      </c>
    </row>
    <row r="40">
      <c r="A40" s="3" t="inlineStr">
        <is>
          <t>P0027</t>
        </is>
      </c>
      <c r="B40" s="3" t="inlineStr">
        <is>
          <t>陳詩祺</t>
        </is>
      </c>
      <c r="C40" s="3" t="n">
        <v>17</v>
      </c>
      <c r="D40" s="3" t="inlineStr">
        <is>
          <t>2026/06/21</t>
        </is>
      </c>
      <c r="E40" s="3" t="inlineStr">
        <is>
          <t>2026/06/27</t>
        </is>
      </c>
      <c r="F40" s="3" t="inlineStr">
        <is>
          <t>否</t>
        </is>
      </c>
      <c r="G40" s="3">
        <f>SUMIFS(個人班表!$I$2:$I$784,個人班表!$B$2:$B$784,$A40,個人班表!$D$2:$D$784,"&gt;="&amp;$D40,個人班表!$D$2:$D$784,"&lt;="&amp;$E40)</f>
        <v/>
      </c>
      <c r="H40" s="3">
        <f>IF(G40&gt;=17,"是","否")</f>
        <v/>
      </c>
      <c r="I40" s="3">
        <f>SUM(G37:G40)</f>
        <v/>
      </c>
      <c r="J40" s="3">
        <f>IF(I40&gt;=68,"是","否")</f>
        <v/>
      </c>
      <c r="K40" s="3">
        <f>IF(C40&gt;=4,"是","否")</f>
        <v/>
      </c>
      <c r="L40" s="3">
        <f>IF(AND(K40="是",OR(H40="是",J40="是")),"是","否")</f>
        <v/>
      </c>
      <c r="M40" s="3">
        <f>IF(L40="是",MIN(7,DATEDIF(DATEVALUE(SUBSTITUTE($D40,"/","-")),MIN(DATEVALUE(SUBSTITUTE($E40,"/","-")),DATEVALUE(SUBSTITUTE($N40,"/","-"))),"d")+1),0)</f>
        <v/>
      </c>
      <c r="N40" s="3">
        <f>MAXIFS(個人班表!$D$2:$D$784,個人班表!$B$2:$B$784,$A40)</f>
        <v/>
      </c>
      <c r="O40" s="3">
        <f>IF(L40&lt;&gt;"是",0,IF(AND($A40=$A39,$L39="是"),O39+M40,M40))</f>
        <v/>
      </c>
    </row>
    <row r="41">
      <c r="A41" s="3" t="inlineStr">
        <is>
          <t>P0027</t>
        </is>
      </c>
      <c r="B41" s="3" t="inlineStr">
        <is>
          <t>陳詩祺</t>
        </is>
      </c>
      <c r="C41" s="3" t="n">
        <v>18</v>
      </c>
      <c r="D41" s="3" t="inlineStr">
        <is>
          <t>2026/06/28</t>
        </is>
      </c>
      <c r="E41" s="3" t="inlineStr">
        <is>
          <t>2026/07/04</t>
        </is>
      </c>
      <c r="F41" s="3" t="inlineStr">
        <is>
          <t>否</t>
        </is>
      </c>
      <c r="G41" s="3">
        <f>SUMIFS(個人班表!$I$2:$I$784,個人班表!$B$2:$B$784,$A41,個人班表!$D$2:$D$784,"&gt;="&amp;$D41,個人班表!$D$2:$D$784,"&lt;="&amp;$E41)</f>
        <v/>
      </c>
      <c r="H41" s="3">
        <f>IF(G41&gt;=17,"是","否")</f>
        <v/>
      </c>
      <c r="I41" s="3">
        <f>SUM(G38:G41)</f>
        <v/>
      </c>
      <c r="J41" s="3">
        <f>IF(I41&gt;=68,"是","否")</f>
        <v/>
      </c>
      <c r="K41" s="3">
        <f>IF(C41&gt;=4,"是","否")</f>
        <v/>
      </c>
      <c r="L41" s="3">
        <f>IF(AND(K41="是",OR(H41="是",J41="是")),"是","否")</f>
        <v/>
      </c>
      <c r="M41" s="3">
        <f>IF(L41="是",MIN(7,DATEDIF(DATEVALUE(SUBSTITUTE($D41,"/","-")),MIN(DATEVALUE(SUBSTITUTE($E41,"/","-")),DATEVALUE(SUBSTITUTE($N41,"/","-"))),"d")+1),0)</f>
        <v/>
      </c>
      <c r="N41" s="3">
        <f>MAXIFS(個人班表!$D$2:$D$784,個人班表!$B$2:$B$784,$A41)</f>
        <v/>
      </c>
      <c r="O41" s="3">
        <f>IF(L41&lt;&gt;"是",0,IF(AND($A41=$A40,$L40="是"),O40+M41,M41))</f>
        <v/>
      </c>
    </row>
    <row r="42">
      <c r="A42" s="3" t="inlineStr">
        <is>
          <t>P0027</t>
        </is>
      </c>
      <c r="B42" s="3" t="inlineStr">
        <is>
          <t>陳詩祺</t>
        </is>
      </c>
      <c r="C42" s="3" t="n">
        <v>19</v>
      </c>
      <c r="D42" s="3" t="inlineStr">
        <is>
          <t>2026/07/05</t>
        </is>
      </c>
      <c r="E42" s="3" t="inlineStr">
        <is>
          <t>2026/07/11</t>
        </is>
      </c>
      <c r="F42" s="3" t="inlineStr">
        <is>
          <t>否</t>
        </is>
      </c>
      <c r="G42" s="3">
        <f>SUMIFS(個人班表!$I$2:$I$784,個人班表!$B$2:$B$784,$A42,個人班表!$D$2:$D$784,"&gt;="&amp;$D42,個人班表!$D$2:$D$784,"&lt;="&amp;$E42)</f>
        <v/>
      </c>
      <c r="H42" s="3">
        <f>IF(G42&gt;=17,"是","否")</f>
        <v/>
      </c>
      <c r="I42" s="3">
        <f>SUM(G39:G42)</f>
        <v/>
      </c>
      <c r="J42" s="3">
        <f>IF(I42&gt;=68,"是","否")</f>
        <v/>
      </c>
      <c r="K42" s="3">
        <f>IF(C42&gt;=4,"是","否")</f>
        <v/>
      </c>
      <c r="L42" s="3">
        <f>IF(AND(K42="是",OR(H42="是",J42="是")),"是","否")</f>
        <v/>
      </c>
      <c r="M42" s="3">
        <f>IF(L42="是",MIN(7,DATEDIF(DATEVALUE(SUBSTITUTE($D42,"/","-")),MIN(DATEVALUE(SUBSTITUTE($E42,"/","-")),DATEVALUE(SUBSTITUTE($N42,"/","-"))),"d")+1),0)</f>
        <v/>
      </c>
      <c r="N42" s="3">
        <f>MAXIFS(個人班表!$D$2:$D$784,個人班表!$B$2:$B$784,$A42)</f>
        <v/>
      </c>
      <c r="O42" s="3">
        <f>IF(L42&lt;&gt;"是",0,IF(AND($A42=$A41,$L41="是"),O41+M42,M42))</f>
        <v/>
      </c>
    </row>
    <row r="43">
      <c r="A43" s="3" t="inlineStr">
        <is>
          <t>P0027</t>
        </is>
      </c>
      <c r="B43" s="3" t="inlineStr">
        <is>
          <t>陳詩祺</t>
        </is>
      </c>
      <c r="C43" s="3" t="n">
        <v>20</v>
      </c>
      <c r="D43" s="3" t="inlineStr">
        <is>
          <t>2026/07/12</t>
        </is>
      </c>
      <c r="E43" s="3" t="inlineStr">
        <is>
          <t>2026/07/18</t>
        </is>
      </c>
      <c r="F43" s="3" t="inlineStr">
        <is>
          <t>否</t>
        </is>
      </c>
      <c r="G43" s="3">
        <f>SUMIFS(個人班表!$I$2:$I$784,個人班表!$B$2:$B$784,$A43,個人班表!$D$2:$D$784,"&gt;="&amp;$D43,個人班表!$D$2:$D$784,"&lt;="&amp;$E43)</f>
        <v/>
      </c>
      <c r="H43" s="3">
        <f>IF(G43&gt;=17,"是","否")</f>
        <v/>
      </c>
      <c r="I43" s="3">
        <f>SUM(G40:G43)</f>
        <v/>
      </c>
      <c r="J43" s="3">
        <f>IF(I43&gt;=68,"是","否")</f>
        <v/>
      </c>
      <c r="K43" s="3">
        <f>IF(C43&gt;=4,"是","否")</f>
        <v/>
      </c>
      <c r="L43" s="3">
        <f>IF(AND(K43="是",OR(H43="是",J43="是")),"是","否")</f>
        <v/>
      </c>
      <c r="M43" s="3">
        <f>IF(L43="是",MIN(7,DATEDIF(DATEVALUE(SUBSTITUTE($D43,"/","-")),MIN(DATEVALUE(SUBSTITUTE($E43,"/","-")),DATEVALUE(SUBSTITUTE($N43,"/","-"))),"d")+1),0)</f>
        <v/>
      </c>
      <c r="N43" s="3">
        <f>MAXIFS(個人班表!$D$2:$D$784,個人班表!$B$2:$B$784,$A43)</f>
        <v/>
      </c>
      <c r="O43" s="3">
        <f>IF(L43&lt;&gt;"是",0,IF(AND($A43=$A42,$L42="是"),O42+M43,M43))</f>
        <v/>
      </c>
    </row>
    <row r="44">
      <c r="A44" s="3" t="inlineStr">
        <is>
          <t>P0027</t>
        </is>
      </c>
      <c r="B44" s="3" t="inlineStr">
        <is>
          <t>陳詩祺</t>
        </is>
      </c>
      <c r="C44" s="3" t="n">
        <v>21</v>
      </c>
      <c r="D44" s="3" t="inlineStr">
        <is>
          <t>2026/07/19</t>
        </is>
      </c>
      <c r="E44" s="3" t="inlineStr">
        <is>
          <t>2026/07/25</t>
        </is>
      </c>
      <c r="F44" s="3" t="inlineStr">
        <is>
          <t>否</t>
        </is>
      </c>
      <c r="G44" s="3">
        <f>SUMIFS(個人班表!$I$2:$I$784,個人班表!$B$2:$B$784,$A44,個人班表!$D$2:$D$784,"&gt;="&amp;$D44,個人班表!$D$2:$D$784,"&lt;="&amp;$E44)</f>
        <v/>
      </c>
      <c r="H44" s="3">
        <f>IF(G44&gt;=17,"是","否")</f>
        <v/>
      </c>
      <c r="I44" s="3">
        <f>SUM(G41:G44)</f>
        <v/>
      </c>
      <c r="J44" s="3">
        <f>IF(I44&gt;=68,"是","否")</f>
        <v/>
      </c>
      <c r="K44" s="3">
        <f>IF(C44&gt;=4,"是","否")</f>
        <v/>
      </c>
      <c r="L44" s="3">
        <f>IF(AND(K44="是",OR(H44="是",J44="是")),"是","否")</f>
        <v/>
      </c>
      <c r="M44" s="3">
        <f>IF(L44="是",MIN(7,DATEDIF(DATEVALUE(SUBSTITUTE($D44,"/","-")),MIN(DATEVALUE(SUBSTITUTE($E44,"/","-")),DATEVALUE(SUBSTITUTE($N44,"/","-"))),"d")+1),0)</f>
        <v/>
      </c>
      <c r="N44" s="3">
        <f>MAXIFS(個人班表!$D$2:$D$784,個人班表!$B$2:$B$784,$A44)</f>
        <v/>
      </c>
      <c r="O44" s="3">
        <f>IF(L44&lt;&gt;"是",0,IF(AND($A44=$A43,$L43="是"),O43+M44,M44))</f>
        <v/>
      </c>
    </row>
    <row r="45">
      <c r="A45" s="3" t="inlineStr">
        <is>
          <t>P0027</t>
        </is>
      </c>
      <c r="B45" s="3" t="inlineStr">
        <is>
          <t>陳詩祺</t>
        </is>
      </c>
      <c r="C45" s="3" t="n">
        <v>22</v>
      </c>
      <c r="D45" s="3" t="inlineStr">
        <is>
          <t>2026/07/26</t>
        </is>
      </c>
      <c r="E45" s="3" t="inlineStr">
        <is>
          <t>2026/08/01</t>
        </is>
      </c>
      <c r="F45" s="3" t="inlineStr">
        <is>
          <t>是</t>
        </is>
      </c>
      <c r="G45" s="3">
        <f>SUMIFS(個人班表!$I$2:$I$784,個人班表!$B$2:$B$784,$A45,個人班表!$D$2:$D$784,"&gt;="&amp;$D45,個人班表!$D$2:$D$784,"&lt;="&amp;$E45)</f>
        <v/>
      </c>
      <c r="H45" s="3">
        <f>IF(G45&gt;=17,"是","否")</f>
        <v/>
      </c>
      <c r="I45" s="3">
        <f>SUM(G42:G45)</f>
        <v/>
      </c>
      <c r="J45" s="3">
        <f>IF(I45&gt;=68,"是","否")</f>
        <v/>
      </c>
      <c r="K45" s="3">
        <f>IF(C45&gt;=4,"是","否")</f>
        <v/>
      </c>
      <c r="L45" s="3">
        <f>IF(AND(K45="是",OR(H45="是",J45="是")),"是","否")</f>
        <v/>
      </c>
      <c r="M45" s="3">
        <f>IF(L45="是",MIN(7,DATEDIF(DATEVALUE(SUBSTITUTE($D45,"/","-")),MIN(DATEVALUE(SUBSTITUTE($E45,"/","-")),DATEVALUE(SUBSTITUTE($N45,"/","-"))),"d")+1),0)</f>
        <v/>
      </c>
      <c r="N45" s="3">
        <f>MAXIFS(個人班表!$D$2:$D$784,個人班表!$B$2:$B$784,$A45)</f>
        <v/>
      </c>
      <c r="O45" s="3">
        <f>IF(L45&lt;&gt;"是",0,IF(AND($A45=$A44,$L44="是"),O44+M45,M45))</f>
        <v/>
      </c>
    </row>
    <row r="46">
      <c r="A46" s="3" t="inlineStr">
        <is>
          <t>P0028</t>
        </is>
      </c>
      <c r="B46" s="3" t="inlineStr">
        <is>
          <t>盧天欣</t>
        </is>
      </c>
      <c r="C46" s="3" t="n">
        <v>1</v>
      </c>
      <c r="D46" s="3" t="inlineStr">
        <is>
          <t>2026/03/01</t>
        </is>
      </c>
      <c r="E46" s="3" t="inlineStr">
        <is>
          <t>2026/03/07</t>
        </is>
      </c>
      <c r="F46" s="3" t="inlineStr">
        <is>
          <t>否</t>
        </is>
      </c>
      <c r="G46" s="3">
        <f>SUMIFS(個人班表!$I$2:$I$784,個人班表!$B$2:$B$784,$A46,個人班表!$D$2:$D$784,"&gt;="&amp;$D46,個人班表!$D$2:$D$784,"&lt;="&amp;$E46)</f>
        <v/>
      </c>
      <c r="H46" s="3">
        <f>IF(G46&gt;=17,"是","否")</f>
        <v/>
      </c>
      <c r="I46" s="3">
        <f>SUM(G46:G46)</f>
        <v/>
      </c>
      <c r="J46" s="3">
        <f>IF(I46&gt;=68,"是","否")</f>
        <v/>
      </c>
      <c r="K46" s="3">
        <f>IF(C46&gt;=4,"是","否")</f>
        <v/>
      </c>
      <c r="L46" s="3">
        <f>IF(AND(K46="是",OR(H46="是",J46="是")),"是","否")</f>
        <v/>
      </c>
      <c r="M46" s="3">
        <f>IF(L46="是",MIN(7,DATEDIF(DATEVALUE(SUBSTITUTE($D46,"/","-")),MIN(DATEVALUE(SUBSTITUTE($E46,"/","-")),DATEVALUE(SUBSTITUTE($N46,"/","-"))),"d")+1),0)</f>
        <v/>
      </c>
      <c r="N46" s="3">
        <f>MAXIFS(個人班表!$D$2:$D$784,個人班表!$B$2:$B$784,$A46)</f>
        <v/>
      </c>
      <c r="O46" s="3">
        <f>IF(L46&lt;&gt;"是",0,M46)</f>
        <v/>
      </c>
    </row>
    <row r="47">
      <c r="A47" s="3" t="inlineStr">
        <is>
          <t>P0028</t>
        </is>
      </c>
      <c r="B47" s="3" t="inlineStr">
        <is>
          <t>盧天欣</t>
        </is>
      </c>
      <c r="C47" s="3" t="n">
        <v>2</v>
      </c>
      <c r="D47" s="3" t="inlineStr">
        <is>
          <t>2026/03/08</t>
        </is>
      </c>
      <c r="E47" s="3" t="inlineStr">
        <is>
          <t>2026/03/14</t>
        </is>
      </c>
      <c r="F47" s="3" t="inlineStr">
        <is>
          <t>否</t>
        </is>
      </c>
      <c r="G47" s="3">
        <f>SUMIFS(個人班表!$I$2:$I$784,個人班表!$B$2:$B$784,$A47,個人班表!$D$2:$D$784,"&gt;="&amp;$D47,個人班表!$D$2:$D$784,"&lt;="&amp;$E47)</f>
        <v/>
      </c>
      <c r="H47" s="3">
        <f>IF(G47&gt;=17,"是","否")</f>
        <v/>
      </c>
      <c r="I47" s="3">
        <f>SUM(G46:G47)</f>
        <v/>
      </c>
      <c r="J47" s="3">
        <f>IF(I47&gt;=68,"是","否")</f>
        <v/>
      </c>
      <c r="K47" s="3">
        <f>IF(C47&gt;=4,"是","否")</f>
        <v/>
      </c>
      <c r="L47" s="3">
        <f>IF(AND(K47="是",OR(H47="是",J47="是")),"是","否")</f>
        <v/>
      </c>
      <c r="M47" s="3">
        <f>IF(L47="是",MIN(7,DATEDIF(DATEVALUE(SUBSTITUTE($D47,"/","-")),MIN(DATEVALUE(SUBSTITUTE($E47,"/","-")),DATEVALUE(SUBSTITUTE($N47,"/","-"))),"d")+1),0)</f>
        <v/>
      </c>
      <c r="N47" s="3">
        <f>MAXIFS(個人班表!$D$2:$D$784,個人班表!$B$2:$B$784,$A47)</f>
        <v/>
      </c>
      <c r="O47" s="3">
        <f>IF(L47&lt;&gt;"是",0,IF(AND($A47=$A46,$L46="是"),O46+M47,M47))</f>
        <v/>
      </c>
    </row>
    <row r="48">
      <c r="A48" s="3" t="inlineStr">
        <is>
          <t>P0028</t>
        </is>
      </c>
      <c r="B48" s="3" t="inlineStr">
        <is>
          <t>盧天欣</t>
        </is>
      </c>
      <c r="C48" s="3" t="n">
        <v>3</v>
      </c>
      <c r="D48" s="3" t="inlineStr">
        <is>
          <t>2026/03/15</t>
        </is>
      </c>
      <c r="E48" s="3" t="inlineStr">
        <is>
          <t>2026/03/21</t>
        </is>
      </c>
      <c r="F48" s="3" t="inlineStr">
        <is>
          <t>否</t>
        </is>
      </c>
      <c r="G48" s="3">
        <f>SUMIFS(個人班表!$I$2:$I$784,個人班表!$B$2:$B$784,$A48,個人班表!$D$2:$D$784,"&gt;="&amp;$D48,個人班表!$D$2:$D$784,"&lt;="&amp;$E48)</f>
        <v/>
      </c>
      <c r="H48" s="3">
        <f>IF(G48&gt;=17,"是","否")</f>
        <v/>
      </c>
      <c r="I48" s="3">
        <f>SUM(G46:G48)</f>
        <v/>
      </c>
      <c r="J48" s="3">
        <f>IF(I48&gt;=68,"是","否")</f>
        <v/>
      </c>
      <c r="K48" s="3">
        <f>IF(C48&gt;=4,"是","否")</f>
        <v/>
      </c>
      <c r="L48" s="3">
        <f>IF(AND(K48="是",OR(H48="是",J48="是")),"是","否")</f>
        <v/>
      </c>
      <c r="M48" s="3">
        <f>IF(L48="是",MIN(7,DATEDIF(DATEVALUE(SUBSTITUTE($D48,"/","-")),MIN(DATEVALUE(SUBSTITUTE($E48,"/","-")),DATEVALUE(SUBSTITUTE($N48,"/","-"))),"d")+1),0)</f>
        <v/>
      </c>
      <c r="N48" s="3">
        <f>MAXIFS(個人班表!$D$2:$D$784,個人班表!$B$2:$B$784,$A48)</f>
        <v/>
      </c>
      <c r="O48" s="3">
        <f>IF(L48&lt;&gt;"是",0,IF(AND($A48=$A47,$L47="是"),O47+M48,M48))</f>
        <v/>
      </c>
    </row>
    <row r="49">
      <c r="A49" s="3" t="inlineStr">
        <is>
          <t>P0028</t>
        </is>
      </c>
      <c r="B49" s="3" t="inlineStr">
        <is>
          <t>盧天欣</t>
        </is>
      </c>
      <c r="C49" s="3" t="n">
        <v>4</v>
      </c>
      <c r="D49" s="3" t="inlineStr">
        <is>
          <t>2026/03/22</t>
        </is>
      </c>
      <c r="E49" s="3" t="inlineStr">
        <is>
          <t>2026/03/28</t>
        </is>
      </c>
      <c r="F49" s="3" t="inlineStr">
        <is>
          <t>否</t>
        </is>
      </c>
      <c r="G49" s="3">
        <f>SUMIFS(個人班表!$I$2:$I$784,個人班表!$B$2:$B$784,$A49,個人班表!$D$2:$D$784,"&gt;="&amp;$D49,個人班表!$D$2:$D$784,"&lt;="&amp;$E49)</f>
        <v/>
      </c>
      <c r="H49" s="3">
        <f>IF(G49&gt;=17,"是","否")</f>
        <v/>
      </c>
      <c r="I49" s="3">
        <f>SUM(G46:G49)</f>
        <v/>
      </c>
      <c r="J49" s="3">
        <f>IF(I49&gt;=68,"是","否")</f>
        <v/>
      </c>
      <c r="K49" s="3">
        <f>IF(C49&gt;=4,"是","否")</f>
        <v/>
      </c>
      <c r="L49" s="3">
        <f>IF(AND(K49="是",OR(H49="是",J49="是")),"是","否")</f>
        <v/>
      </c>
      <c r="M49" s="3">
        <f>IF(L49="是",MIN(7,DATEDIF(DATEVALUE(SUBSTITUTE($D49,"/","-")),MIN(DATEVALUE(SUBSTITUTE($E49,"/","-")),DATEVALUE(SUBSTITUTE($N49,"/","-"))),"d")+1),0)</f>
        <v/>
      </c>
      <c r="N49" s="3">
        <f>MAXIFS(個人班表!$D$2:$D$784,個人班表!$B$2:$B$784,$A49)</f>
        <v/>
      </c>
      <c r="O49" s="3">
        <f>IF(L49&lt;&gt;"是",0,IF(AND($A49=$A48,$L48="是"),O48+M49,M49))</f>
        <v/>
      </c>
    </row>
    <row r="50">
      <c r="A50" s="3" t="inlineStr">
        <is>
          <t>P0028</t>
        </is>
      </c>
      <c r="B50" s="3" t="inlineStr">
        <is>
          <t>盧天欣</t>
        </is>
      </c>
      <c r="C50" s="3" t="n">
        <v>5</v>
      </c>
      <c r="D50" s="3" t="inlineStr">
        <is>
          <t>2026/03/29</t>
        </is>
      </c>
      <c r="E50" s="3" t="inlineStr">
        <is>
          <t>2026/04/04</t>
        </is>
      </c>
      <c r="F50" s="3" t="inlineStr">
        <is>
          <t>否</t>
        </is>
      </c>
      <c r="G50" s="3">
        <f>SUMIFS(個人班表!$I$2:$I$784,個人班表!$B$2:$B$784,$A50,個人班表!$D$2:$D$784,"&gt;="&amp;$D50,個人班表!$D$2:$D$784,"&lt;="&amp;$E50)</f>
        <v/>
      </c>
      <c r="H50" s="3">
        <f>IF(G50&gt;=17,"是","否")</f>
        <v/>
      </c>
      <c r="I50" s="3">
        <f>SUM(G47:G50)</f>
        <v/>
      </c>
      <c r="J50" s="3">
        <f>IF(I50&gt;=68,"是","否")</f>
        <v/>
      </c>
      <c r="K50" s="3">
        <f>IF(C50&gt;=4,"是","否")</f>
        <v/>
      </c>
      <c r="L50" s="3">
        <f>IF(AND(K50="是",OR(H50="是",J50="是")),"是","否")</f>
        <v/>
      </c>
      <c r="M50" s="3">
        <f>IF(L50="是",MIN(7,DATEDIF(DATEVALUE(SUBSTITUTE($D50,"/","-")),MIN(DATEVALUE(SUBSTITUTE($E50,"/","-")),DATEVALUE(SUBSTITUTE($N50,"/","-"))),"d")+1),0)</f>
        <v/>
      </c>
      <c r="N50" s="3">
        <f>MAXIFS(個人班表!$D$2:$D$784,個人班表!$B$2:$B$784,$A50)</f>
        <v/>
      </c>
      <c r="O50" s="3">
        <f>IF(L50&lt;&gt;"是",0,IF(AND($A50=$A49,$L49="是"),O49+M50,M50))</f>
        <v/>
      </c>
    </row>
    <row r="51">
      <c r="A51" s="3" t="inlineStr">
        <is>
          <t>P0028</t>
        </is>
      </c>
      <c r="B51" s="3" t="inlineStr">
        <is>
          <t>盧天欣</t>
        </is>
      </c>
      <c r="C51" s="3" t="n">
        <v>6</v>
      </c>
      <c r="D51" s="3" t="inlineStr">
        <is>
          <t>2026/04/05</t>
        </is>
      </c>
      <c r="E51" s="3" t="inlineStr">
        <is>
          <t>2026/04/11</t>
        </is>
      </c>
      <c r="F51" s="3" t="inlineStr">
        <is>
          <t>否</t>
        </is>
      </c>
      <c r="G51" s="3">
        <f>SUMIFS(個人班表!$I$2:$I$784,個人班表!$B$2:$B$784,$A51,個人班表!$D$2:$D$784,"&gt;="&amp;$D51,個人班表!$D$2:$D$784,"&lt;="&amp;$E51)</f>
        <v/>
      </c>
      <c r="H51" s="3">
        <f>IF(G51&gt;=17,"是","否")</f>
        <v/>
      </c>
      <c r="I51" s="3">
        <f>SUM(G48:G51)</f>
        <v/>
      </c>
      <c r="J51" s="3">
        <f>IF(I51&gt;=68,"是","否")</f>
        <v/>
      </c>
      <c r="K51" s="3">
        <f>IF(C51&gt;=4,"是","否")</f>
        <v/>
      </c>
      <c r="L51" s="3">
        <f>IF(AND(K51="是",OR(H51="是",J51="是")),"是","否")</f>
        <v/>
      </c>
      <c r="M51" s="3">
        <f>IF(L51="是",MIN(7,DATEDIF(DATEVALUE(SUBSTITUTE($D51,"/","-")),MIN(DATEVALUE(SUBSTITUTE($E51,"/","-")),DATEVALUE(SUBSTITUTE($N51,"/","-"))),"d")+1),0)</f>
        <v/>
      </c>
      <c r="N51" s="3">
        <f>MAXIFS(個人班表!$D$2:$D$784,個人班表!$B$2:$B$784,$A51)</f>
        <v/>
      </c>
      <c r="O51" s="3">
        <f>IF(L51&lt;&gt;"是",0,IF(AND($A51=$A50,$L50="是"),O50+M51,M51))</f>
        <v/>
      </c>
    </row>
    <row r="52">
      <c r="A52" s="3" t="inlineStr">
        <is>
          <t>P0028</t>
        </is>
      </c>
      <c r="B52" s="3" t="inlineStr">
        <is>
          <t>盧天欣</t>
        </is>
      </c>
      <c r="C52" s="3" t="n">
        <v>7</v>
      </c>
      <c r="D52" s="3" t="inlineStr">
        <is>
          <t>2026/04/12</t>
        </is>
      </c>
      <c r="E52" s="3" t="inlineStr">
        <is>
          <t>2026/04/18</t>
        </is>
      </c>
      <c r="F52" s="3" t="inlineStr">
        <is>
          <t>否</t>
        </is>
      </c>
      <c r="G52" s="3">
        <f>SUMIFS(個人班表!$I$2:$I$784,個人班表!$B$2:$B$784,$A52,個人班表!$D$2:$D$784,"&gt;="&amp;$D52,個人班表!$D$2:$D$784,"&lt;="&amp;$E52)</f>
        <v/>
      </c>
      <c r="H52" s="3">
        <f>IF(G52&gt;=17,"是","否")</f>
        <v/>
      </c>
      <c r="I52" s="3">
        <f>SUM(G49:G52)</f>
        <v/>
      </c>
      <c r="J52" s="3">
        <f>IF(I52&gt;=68,"是","否")</f>
        <v/>
      </c>
      <c r="K52" s="3">
        <f>IF(C52&gt;=4,"是","否")</f>
        <v/>
      </c>
      <c r="L52" s="3">
        <f>IF(AND(K52="是",OR(H52="是",J52="是")),"是","否")</f>
        <v/>
      </c>
      <c r="M52" s="3">
        <f>IF(L52="是",MIN(7,DATEDIF(DATEVALUE(SUBSTITUTE($D52,"/","-")),MIN(DATEVALUE(SUBSTITUTE($E52,"/","-")),DATEVALUE(SUBSTITUTE($N52,"/","-"))),"d")+1),0)</f>
        <v/>
      </c>
      <c r="N52" s="3">
        <f>MAXIFS(個人班表!$D$2:$D$784,個人班表!$B$2:$B$784,$A52)</f>
        <v/>
      </c>
      <c r="O52" s="3">
        <f>IF(L52&lt;&gt;"是",0,IF(AND($A52=$A51,$L51="是"),O51+M52,M52))</f>
        <v/>
      </c>
    </row>
    <row r="53">
      <c r="A53" s="3" t="inlineStr">
        <is>
          <t>P0028</t>
        </is>
      </c>
      <c r="B53" s="3" t="inlineStr">
        <is>
          <t>盧天欣</t>
        </is>
      </c>
      <c r="C53" s="3" t="n">
        <v>8</v>
      </c>
      <c r="D53" s="3" t="inlineStr">
        <is>
          <t>2026/04/19</t>
        </is>
      </c>
      <c r="E53" s="3" t="inlineStr">
        <is>
          <t>2026/04/25</t>
        </is>
      </c>
      <c r="F53" s="3" t="inlineStr">
        <is>
          <t>否</t>
        </is>
      </c>
      <c r="G53" s="3">
        <f>SUMIFS(個人班表!$I$2:$I$784,個人班表!$B$2:$B$784,$A53,個人班表!$D$2:$D$784,"&gt;="&amp;$D53,個人班表!$D$2:$D$784,"&lt;="&amp;$E53)</f>
        <v/>
      </c>
      <c r="H53" s="3">
        <f>IF(G53&gt;=17,"是","否")</f>
        <v/>
      </c>
      <c r="I53" s="3">
        <f>SUM(G50:G53)</f>
        <v/>
      </c>
      <c r="J53" s="3">
        <f>IF(I53&gt;=68,"是","否")</f>
        <v/>
      </c>
      <c r="K53" s="3">
        <f>IF(C53&gt;=4,"是","否")</f>
        <v/>
      </c>
      <c r="L53" s="3">
        <f>IF(AND(K53="是",OR(H53="是",J53="是")),"是","否")</f>
        <v/>
      </c>
      <c r="M53" s="3">
        <f>IF(L53="是",MIN(7,DATEDIF(DATEVALUE(SUBSTITUTE($D53,"/","-")),MIN(DATEVALUE(SUBSTITUTE($E53,"/","-")),DATEVALUE(SUBSTITUTE($N53,"/","-"))),"d")+1),0)</f>
        <v/>
      </c>
      <c r="N53" s="3">
        <f>MAXIFS(個人班表!$D$2:$D$784,個人班表!$B$2:$B$784,$A53)</f>
        <v/>
      </c>
      <c r="O53" s="3">
        <f>IF(L53&lt;&gt;"是",0,IF(AND($A53=$A52,$L52="是"),O52+M53,M53))</f>
        <v/>
      </c>
    </row>
    <row r="54">
      <c r="A54" s="3" t="inlineStr">
        <is>
          <t>P0028</t>
        </is>
      </c>
      <c r="B54" s="3" t="inlineStr">
        <is>
          <t>盧天欣</t>
        </is>
      </c>
      <c r="C54" s="3" t="n">
        <v>9</v>
      </c>
      <c r="D54" s="3" t="inlineStr">
        <is>
          <t>2026/04/26</t>
        </is>
      </c>
      <c r="E54" s="3" t="inlineStr">
        <is>
          <t>2026/05/02</t>
        </is>
      </c>
      <c r="F54" s="3" t="inlineStr">
        <is>
          <t>否</t>
        </is>
      </c>
      <c r="G54" s="3">
        <f>SUMIFS(個人班表!$I$2:$I$784,個人班表!$B$2:$B$784,$A54,個人班表!$D$2:$D$784,"&gt;="&amp;$D54,個人班表!$D$2:$D$784,"&lt;="&amp;$E54)</f>
        <v/>
      </c>
      <c r="H54" s="3">
        <f>IF(G54&gt;=17,"是","否")</f>
        <v/>
      </c>
      <c r="I54" s="3">
        <f>SUM(G51:G54)</f>
        <v/>
      </c>
      <c r="J54" s="3">
        <f>IF(I54&gt;=68,"是","否")</f>
        <v/>
      </c>
      <c r="K54" s="3">
        <f>IF(C54&gt;=4,"是","否")</f>
        <v/>
      </c>
      <c r="L54" s="3">
        <f>IF(AND(K54="是",OR(H54="是",J54="是")),"是","否")</f>
        <v/>
      </c>
      <c r="M54" s="3">
        <f>IF(L54="是",MIN(7,DATEDIF(DATEVALUE(SUBSTITUTE($D54,"/","-")),MIN(DATEVALUE(SUBSTITUTE($E54,"/","-")),DATEVALUE(SUBSTITUTE($N54,"/","-"))),"d")+1),0)</f>
        <v/>
      </c>
      <c r="N54" s="3">
        <f>MAXIFS(個人班表!$D$2:$D$784,個人班表!$B$2:$B$784,$A54)</f>
        <v/>
      </c>
      <c r="O54" s="3">
        <f>IF(L54&lt;&gt;"是",0,IF(AND($A54=$A53,$L53="是"),O53+M54,M54))</f>
        <v/>
      </c>
    </row>
    <row r="55">
      <c r="A55" s="3" t="inlineStr">
        <is>
          <t>P0028</t>
        </is>
      </c>
      <c r="B55" s="3" t="inlineStr">
        <is>
          <t>盧天欣</t>
        </is>
      </c>
      <c r="C55" s="3" t="n">
        <v>10</v>
      </c>
      <c r="D55" s="3" t="inlineStr">
        <is>
          <t>2026/05/03</t>
        </is>
      </c>
      <c r="E55" s="3" t="inlineStr">
        <is>
          <t>2026/05/09</t>
        </is>
      </c>
      <c r="F55" s="3" t="inlineStr">
        <is>
          <t>否</t>
        </is>
      </c>
      <c r="G55" s="3">
        <f>SUMIFS(個人班表!$I$2:$I$784,個人班表!$B$2:$B$784,$A55,個人班表!$D$2:$D$784,"&gt;="&amp;$D55,個人班表!$D$2:$D$784,"&lt;="&amp;$E55)</f>
        <v/>
      </c>
      <c r="H55" s="3">
        <f>IF(G55&gt;=17,"是","否")</f>
        <v/>
      </c>
      <c r="I55" s="3">
        <f>SUM(G52:G55)</f>
        <v/>
      </c>
      <c r="J55" s="3">
        <f>IF(I55&gt;=68,"是","否")</f>
        <v/>
      </c>
      <c r="K55" s="3">
        <f>IF(C55&gt;=4,"是","否")</f>
        <v/>
      </c>
      <c r="L55" s="3">
        <f>IF(AND(K55="是",OR(H55="是",J55="是")),"是","否")</f>
        <v/>
      </c>
      <c r="M55" s="3">
        <f>IF(L55="是",MIN(7,DATEDIF(DATEVALUE(SUBSTITUTE($D55,"/","-")),MIN(DATEVALUE(SUBSTITUTE($E55,"/","-")),DATEVALUE(SUBSTITUTE($N55,"/","-"))),"d")+1),0)</f>
        <v/>
      </c>
      <c r="N55" s="3">
        <f>MAXIFS(個人班表!$D$2:$D$784,個人班表!$B$2:$B$784,$A55)</f>
        <v/>
      </c>
      <c r="O55" s="3">
        <f>IF(L55&lt;&gt;"是",0,IF(AND($A55=$A54,$L54="是"),O54+M55,M55))</f>
        <v/>
      </c>
    </row>
    <row r="56">
      <c r="A56" s="3" t="inlineStr">
        <is>
          <t>P0028</t>
        </is>
      </c>
      <c r="B56" s="3" t="inlineStr">
        <is>
          <t>盧天欣</t>
        </is>
      </c>
      <c r="C56" s="3" t="n">
        <v>11</v>
      </c>
      <c r="D56" s="3" t="inlineStr">
        <is>
          <t>2026/05/10</t>
        </is>
      </c>
      <c r="E56" s="3" t="inlineStr">
        <is>
          <t>2026/05/16</t>
        </is>
      </c>
      <c r="F56" s="3" t="inlineStr">
        <is>
          <t>否</t>
        </is>
      </c>
      <c r="G56" s="3">
        <f>SUMIFS(個人班表!$I$2:$I$784,個人班表!$B$2:$B$784,$A56,個人班表!$D$2:$D$784,"&gt;="&amp;$D56,個人班表!$D$2:$D$784,"&lt;="&amp;$E56)</f>
        <v/>
      </c>
      <c r="H56" s="3">
        <f>IF(G56&gt;=17,"是","否")</f>
        <v/>
      </c>
      <c r="I56" s="3">
        <f>SUM(G53:G56)</f>
        <v/>
      </c>
      <c r="J56" s="3">
        <f>IF(I56&gt;=68,"是","否")</f>
        <v/>
      </c>
      <c r="K56" s="3">
        <f>IF(C56&gt;=4,"是","否")</f>
        <v/>
      </c>
      <c r="L56" s="3">
        <f>IF(AND(K56="是",OR(H56="是",J56="是")),"是","否")</f>
        <v/>
      </c>
      <c r="M56" s="3">
        <f>IF(L56="是",MIN(7,DATEDIF(DATEVALUE(SUBSTITUTE($D56,"/","-")),MIN(DATEVALUE(SUBSTITUTE($E56,"/","-")),DATEVALUE(SUBSTITUTE($N56,"/","-"))),"d")+1),0)</f>
        <v/>
      </c>
      <c r="N56" s="3">
        <f>MAXIFS(個人班表!$D$2:$D$784,個人班表!$B$2:$B$784,$A56)</f>
        <v/>
      </c>
      <c r="O56" s="3">
        <f>IF(L56&lt;&gt;"是",0,IF(AND($A56=$A55,$L55="是"),O55+M56,M56))</f>
        <v/>
      </c>
    </row>
    <row r="57">
      <c r="A57" s="3" t="inlineStr">
        <is>
          <t>P0028</t>
        </is>
      </c>
      <c r="B57" s="3" t="inlineStr">
        <is>
          <t>盧天欣</t>
        </is>
      </c>
      <c r="C57" s="3" t="n">
        <v>12</v>
      </c>
      <c r="D57" s="3" t="inlineStr">
        <is>
          <t>2026/05/17</t>
        </is>
      </c>
      <c r="E57" s="3" t="inlineStr">
        <is>
          <t>2026/05/23</t>
        </is>
      </c>
      <c r="F57" s="3" t="inlineStr">
        <is>
          <t>否</t>
        </is>
      </c>
      <c r="G57" s="3">
        <f>SUMIFS(個人班表!$I$2:$I$784,個人班表!$B$2:$B$784,$A57,個人班表!$D$2:$D$784,"&gt;="&amp;$D57,個人班表!$D$2:$D$784,"&lt;="&amp;$E57)</f>
        <v/>
      </c>
      <c r="H57" s="3">
        <f>IF(G57&gt;=17,"是","否")</f>
        <v/>
      </c>
      <c r="I57" s="3">
        <f>SUM(G54:G57)</f>
        <v/>
      </c>
      <c r="J57" s="3">
        <f>IF(I57&gt;=68,"是","否")</f>
        <v/>
      </c>
      <c r="K57" s="3">
        <f>IF(C57&gt;=4,"是","否")</f>
        <v/>
      </c>
      <c r="L57" s="3">
        <f>IF(AND(K57="是",OR(H57="是",J57="是")),"是","否")</f>
        <v/>
      </c>
      <c r="M57" s="3">
        <f>IF(L57="是",MIN(7,DATEDIF(DATEVALUE(SUBSTITUTE($D57,"/","-")),MIN(DATEVALUE(SUBSTITUTE($E57,"/","-")),DATEVALUE(SUBSTITUTE($N57,"/","-"))),"d")+1),0)</f>
        <v/>
      </c>
      <c r="N57" s="3">
        <f>MAXIFS(個人班表!$D$2:$D$784,個人班表!$B$2:$B$784,$A57)</f>
        <v/>
      </c>
      <c r="O57" s="3">
        <f>IF(L57&lt;&gt;"是",0,IF(AND($A57=$A56,$L56="是"),O56+M57,M57))</f>
        <v/>
      </c>
    </row>
    <row r="58">
      <c r="A58" s="3" t="inlineStr">
        <is>
          <t>P0028</t>
        </is>
      </c>
      <c r="B58" s="3" t="inlineStr">
        <is>
          <t>盧天欣</t>
        </is>
      </c>
      <c r="C58" s="3" t="n">
        <v>13</v>
      </c>
      <c r="D58" s="3" t="inlineStr">
        <is>
          <t>2026/05/24</t>
        </is>
      </c>
      <c r="E58" s="3" t="inlineStr">
        <is>
          <t>2026/05/30</t>
        </is>
      </c>
      <c r="F58" s="3" t="inlineStr">
        <is>
          <t>否</t>
        </is>
      </c>
      <c r="G58" s="3">
        <f>SUMIFS(個人班表!$I$2:$I$784,個人班表!$B$2:$B$784,$A58,個人班表!$D$2:$D$784,"&gt;="&amp;$D58,個人班表!$D$2:$D$784,"&lt;="&amp;$E58)</f>
        <v/>
      </c>
      <c r="H58" s="3">
        <f>IF(G58&gt;=17,"是","否")</f>
        <v/>
      </c>
      <c r="I58" s="3">
        <f>SUM(G55:G58)</f>
        <v/>
      </c>
      <c r="J58" s="3">
        <f>IF(I58&gt;=68,"是","否")</f>
        <v/>
      </c>
      <c r="K58" s="3">
        <f>IF(C58&gt;=4,"是","否")</f>
        <v/>
      </c>
      <c r="L58" s="3">
        <f>IF(AND(K58="是",OR(H58="是",J58="是")),"是","否")</f>
        <v/>
      </c>
      <c r="M58" s="3">
        <f>IF(L58="是",MIN(7,DATEDIF(DATEVALUE(SUBSTITUTE($D58,"/","-")),MIN(DATEVALUE(SUBSTITUTE($E58,"/","-")),DATEVALUE(SUBSTITUTE($N58,"/","-"))),"d")+1),0)</f>
        <v/>
      </c>
      <c r="N58" s="3">
        <f>MAXIFS(個人班表!$D$2:$D$784,個人班表!$B$2:$B$784,$A58)</f>
        <v/>
      </c>
      <c r="O58" s="3">
        <f>IF(L58&lt;&gt;"是",0,IF(AND($A58=$A57,$L57="是"),O57+M58,M58))</f>
        <v/>
      </c>
    </row>
    <row r="59">
      <c r="A59" s="3" t="inlineStr">
        <is>
          <t>P0028</t>
        </is>
      </c>
      <c r="B59" s="3" t="inlineStr">
        <is>
          <t>盧天欣</t>
        </is>
      </c>
      <c r="C59" s="3" t="n">
        <v>14</v>
      </c>
      <c r="D59" s="3" t="inlineStr">
        <is>
          <t>2026/05/31</t>
        </is>
      </c>
      <c r="E59" s="3" t="inlineStr">
        <is>
          <t>2026/06/06</t>
        </is>
      </c>
      <c r="F59" s="3" t="inlineStr">
        <is>
          <t>否</t>
        </is>
      </c>
      <c r="G59" s="3">
        <f>SUMIFS(個人班表!$I$2:$I$784,個人班表!$B$2:$B$784,$A59,個人班表!$D$2:$D$784,"&gt;="&amp;$D59,個人班表!$D$2:$D$784,"&lt;="&amp;$E59)</f>
        <v/>
      </c>
      <c r="H59" s="3">
        <f>IF(G59&gt;=17,"是","否")</f>
        <v/>
      </c>
      <c r="I59" s="3">
        <f>SUM(G56:G59)</f>
        <v/>
      </c>
      <c r="J59" s="3">
        <f>IF(I59&gt;=68,"是","否")</f>
        <v/>
      </c>
      <c r="K59" s="3">
        <f>IF(C59&gt;=4,"是","否")</f>
        <v/>
      </c>
      <c r="L59" s="3">
        <f>IF(AND(K59="是",OR(H59="是",J59="是")),"是","否")</f>
        <v/>
      </c>
      <c r="M59" s="3">
        <f>IF(L59="是",MIN(7,DATEDIF(DATEVALUE(SUBSTITUTE($D59,"/","-")),MIN(DATEVALUE(SUBSTITUTE($E59,"/","-")),DATEVALUE(SUBSTITUTE($N59,"/","-"))),"d")+1),0)</f>
        <v/>
      </c>
      <c r="N59" s="3">
        <f>MAXIFS(個人班表!$D$2:$D$784,個人班表!$B$2:$B$784,$A59)</f>
        <v/>
      </c>
      <c r="O59" s="3">
        <f>IF(L59&lt;&gt;"是",0,IF(AND($A59=$A58,$L58="是"),O58+M59,M59))</f>
        <v/>
      </c>
    </row>
    <row r="60">
      <c r="A60" s="3" t="inlineStr">
        <is>
          <t>P0028</t>
        </is>
      </c>
      <c r="B60" s="3" t="inlineStr">
        <is>
          <t>盧天欣</t>
        </is>
      </c>
      <c r="C60" s="3" t="n">
        <v>15</v>
      </c>
      <c r="D60" s="3" t="inlineStr">
        <is>
          <t>2026/06/07</t>
        </is>
      </c>
      <c r="E60" s="3" t="inlineStr">
        <is>
          <t>2026/06/13</t>
        </is>
      </c>
      <c r="F60" s="3" t="inlineStr">
        <is>
          <t>否</t>
        </is>
      </c>
      <c r="G60" s="3">
        <f>SUMIFS(個人班表!$I$2:$I$784,個人班表!$B$2:$B$784,$A60,個人班表!$D$2:$D$784,"&gt;="&amp;$D60,個人班表!$D$2:$D$784,"&lt;="&amp;$E60)</f>
        <v/>
      </c>
      <c r="H60" s="3">
        <f>IF(G60&gt;=17,"是","否")</f>
        <v/>
      </c>
      <c r="I60" s="3">
        <f>SUM(G57:G60)</f>
        <v/>
      </c>
      <c r="J60" s="3">
        <f>IF(I60&gt;=68,"是","否")</f>
        <v/>
      </c>
      <c r="K60" s="3">
        <f>IF(C60&gt;=4,"是","否")</f>
        <v/>
      </c>
      <c r="L60" s="3">
        <f>IF(AND(K60="是",OR(H60="是",J60="是")),"是","否")</f>
        <v/>
      </c>
      <c r="M60" s="3">
        <f>IF(L60="是",MIN(7,DATEDIF(DATEVALUE(SUBSTITUTE($D60,"/","-")),MIN(DATEVALUE(SUBSTITUTE($E60,"/","-")),DATEVALUE(SUBSTITUTE($N60,"/","-"))),"d")+1),0)</f>
        <v/>
      </c>
      <c r="N60" s="3">
        <f>MAXIFS(個人班表!$D$2:$D$784,個人班表!$B$2:$B$784,$A60)</f>
        <v/>
      </c>
      <c r="O60" s="3">
        <f>IF(L60&lt;&gt;"是",0,IF(AND($A60=$A59,$L59="是"),O59+M60,M60))</f>
        <v/>
      </c>
    </row>
    <row r="61">
      <c r="A61" s="3" t="inlineStr">
        <is>
          <t>P0028</t>
        </is>
      </c>
      <c r="B61" s="3" t="inlineStr">
        <is>
          <t>盧天欣</t>
        </is>
      </c>
      <c r="C61" s="3" t="n">
        <v>16</v>
      </c>
      <c r="D61" s="3" t="inlineStr">
        <is>
          <t>2026/06/14</t>
        </is>
      </c>
      <c r="E61" s="3" t="inlineStr">
        <is>
          <t>2026/06/20</t>
        </is>
      </c>
      <c r="F61" s="3" t="inlineStr">
        <is>
          <t>否</t>
        </is>
      </c>
      <c r="G61" s="3">
        <f>SUMIFS(個人班表!$I$2:$I$784,個人班表!$B$2:$B$784,$A61,個人班表!$D$2:$D$784,"&gt;="&amp;$D61,個人班表!$D$2:$D$784,"&lt;="&amp;$E61)</f>
        <v/>
      </c>
      <c r="H61" s="3">
        <f>IF(G61&gt;=17,"是","否")</f>
        <v/>
      </c>
      <c r="I61" s="3">
        <f>SUM(G58:G61)</f>
        <v/>
      </c>
      <c r="J61" s="3">
        <f>IF(I61&gt;=68,"是","否")</f>
        <v/>
      </c>
      <c r="K61" s="3">
        <f>IF(C61&gt;=4,"是","否")</f>
        <v/>
      </c>
      <c r="L61" s="3">
        <f>IF(AND(K61="是",OR(H61="是",J61="是")),"是","否")</f>
        <v/>
      </c>
      <c r="M61" s="3">
        <f>IF(L61="是",MIN(7,DATEDIF(DATEVALUE(SUBSTITUTE($D61,"/","-")),MIN(DATEVALUE(SUBSTITUTE($E61,"/","-")),DATEVALUE(SUBSTITUTE($N61,"/","-"))),"d")+1),0)</f>
        <v/>
      </c>
      <c r="N61" s="3">
        <f>MAXIFS(個人班表!$D$2:$D$784,個人班表!$B$2:$B$784,$A61)</f>
        <v/>
      </c>
      <c r="O61" s="3">
        <f>IF(L61&lt;&gt;"是",0,IF(AND($A61=$A60,$L60="是"),O60+M61,M61))</f>
        <v/>
      </c>
    </row>
    <row r="62">
      <c r="A62" s="3" t="inlineStr">
        <is>
          <t>P0028</t>
        </is>
      </c>
      <c r="B62" s="3" t="inlineStr">
        <is>
          <t>盧天欣</t>
        </is>
      </c>
      <c r="C62" s="3" t="n">
        <v>17</v>
      </c>
      <c r="D62" s="3" t="inlineStr">
        <is>
          <t>2026/06/21</t>
        </is>
      </c>
      <c r="E62" s="3" t="inlineStr">
        <is>
          <t>2026/06/27</t>
        </is>
      </c>
      <c r="F62" s="3" t="inlineStr">
        <is>
          <t>否</t>
        </is>
      </c>
      <c r="G62" s="3">
        <f>SUMIFS(個人班表!$I$2:$I$784,個人班表!$B$2:$B$784,$A62,個人班表!$D$2:$D$784,"&gt;="&amp;$D62,個人班表!$D$2:$D$784,"&lt;="&amp;$E62)</f>
        <v/>
      </c>
      <c r="H62" s="3">
        <f>IF(G62&gt;=17,"是","否")</f>
        <v/>
      </c>
      <c r="I62" s="3">
        <f>SUM(G59:G62)</f>
        <v/>
      </c>
      <c r="J62" s="3">
        <f>IF(I62&gt;=68,"是","否")</f>
        <v/>
      </c>
      <c r="K62" s="3">
        <f>IF(C62&gt;=4,"是","否")</f>
        <v/>
      </c>
      <c r="L62" s="3">
        <f>IF(AND(K62="是",OR(H62="是",J62="是")),"是","否")</f>
        <v/>
      </c>
      <c r="M62" s="3">
        <f>IF(L62="是",MIN(7,DATEDIF(DATEVALUE(SUBSTITUTE($D62,"/","-")),MIN(DATEVALUE(SUBSTITUTE($E62,"/","-")),DATEVALUE(SUBSTITUTE($N62,"/","-"))),"d")+1),0)</f>
        <v/>
      </c>
      <c r="N62" s="3">
        <f>MAXIFS(個人班表!$D$2:$D$784,個人班表!$B$2:$B$784,$A62)</f>
        <v/>
      </c>
      <c r="O62" s="3">
        <f>IF(L62&lt;&gt;"是",0,IF(AND($A62=$A61,$L61="是"),O61+M62,M62))</f>
        <v/>
      </c>
    </row>
    <row r="63">
      <c r="A63" s="3" t="inlineStr">
        <is>
          <t>P0028</t>
        </is>
      </c>
      <c r="B63" s="3" t="inlineStr">
        <is>
          <t>盧天欣</t>
        </is>
      </c>
      <c r="C63" s="3" t="n">
        <v>18</v>
      </c>
      <c r="D63" s="3" t="inlineStr">
        <is>
          <t>2026/06/28</t>
        </is>
      </c>
      <c r="E63" s="3" t="inlineStr">
        <is>
          <t>2026/07/04</t>
        </is>
      </c>
      <c r="F63" s="3" t="inlineStr">
        <is>
          <t>否</t>
        </is>
      </c>
      <c r="G63" s="3">
        <f>SUMIFS(個人班表!$I$2:$I$784,個人班表!$B$2:$B$784,$A63,個人班表!$D$2:$D$784,"&gt;="&amp;$D63,個人班表!$D$2:$D$784,"&lt;="&amp;$E63)</f>
        <v/>
      </c>
      <c r="H63" s="3">
        <f>IF(G63&gt;=17,"是","否")</f>
        <v/>
      </c>
      <c r="I63" s="3">
        <f>SUM(G60:G63)</f>
        <v/>
      </c>
      <c r="J63" s="3">
        <f>IF(I63&gt;=68,"是","否")</f>
        <v/>
      </c>
      <c r="K63" s="3">
        <f>IF(C63&gt;=4,"是","否")</f>
        <v/>
      </c>
      <c r="L63" s="3">
        <f>IF(AND(K63="是",OR(H63="是",J63="是")),"是","否")</f>
        <v/>
      </c>
      <c r="M63" s="3">
        <f>IF(L63="是",MIN(7,DATEDIF(DATEVALUE(SUBSTITUTE($D63,"/","-")),MIN(DATEVALUE(SUBSTITUTE($E63,"/","-")),DATEVALUE(SUBSTITUTE($N63,"/","-"))),"d")+1),0)</f>
        <v/>
      </c>
      <c r="N63" s="3">
        <f>MAXIFS(個人班表!$D$2:$D$784,個人班表!$B$2:$B$784,$A63)</f>
        <v/>
      </c>
      <c r="O63" s="3">
        <f>IF(L63&lt;&gt;"是",0,IF(AND($A63=$A62,$L62="是"),O62+M63,M63))</f>
        <v/>
      </c>
    </row>
    <row r="64">
      <c r="A64" s="3" t="inlineStr">
        <is>
          <t>P0028</t>
        </is>
      </c>
      <c r="B64" s="3" t="inlineStr">
        <is>
          <t>盧天欣</t>
        </is>
      </c>
      <c r="C64" s="3" t="n">
        <v>19</v>
      </c>
      <c r="D64" s="3" t="inlineStr">
        <is>
          <t>2026/07/05</t>
        </is>
      </c>
      <c r="E64" s="3" t="inlineStr">
        <is>
          <t>2026/07/11</t>
        </is>
      </c>
      <c r="F64" s="3" t="inlineStr">
        <is>
          <t>否</t>
        </is>
      </c>
      <c r="G64" s="3">
        <f>SUMIFS(個人班表!$I$2:$I$784,個人班表!$B$2:$B$784,$A64,個人班表!$D$2:$D$784,"&gt;="&amp;$D64,個人班表!$D$2:$D$784,"&lt;="&amp;$E64)</f>
        <v/>
      </c>
      <c r="H64" s="3">
        <f>IF(G64&gt;=17,"是","否")</f>
        <v/>
      </c>
      <c r="I64" s="3">
        <f>SUM(G61:G64)</f>
        <v/>
      </c>
      <c r="J64" s="3">
        <f>IF(I64&gt;=68,"是","否")</f>
        <v/>
      </c>
      <c r="K64" s="3">
        <f>IF(C64&gt;=4,"是","否")</f>
        <v/>
      </c>
      <c r="L64" s="3">
        <f>IF(AND(K64="是",OR(H64="是",J64="是")),"是","否")</f>
        <v/>
      </c>
      <c r="M64" s="3">
        <f>IF(L64="是",MIN(7,DATEDIF(DATEVALUE(SUBSTITUTE($D64,"/","-")),MIN(DATEVALUE(SUBSTITUTE($E64,"/","-")),DATEVALUE(SUBSTITUTE($N64,"/","-"))),"d")+1),0)</f>
        <v/>
      </c>
      <c r="N64" s="3">
        <f>MAXIFS(個人班表!$D$2:$D$784,個人班表!$B$2:$B$784,$A64)</f>
        <v/>
      </c>
      <c r="O64" s="3">
        <f>IF(L64&lt;&gt;"是",0,IF(AND($A64=$A63,$L63="是"),O63+M64,M64))</f>
        <v/>
      </c>
    </row>
    <row r="65">
      <c r="A65" s="3" t="inlineStr">
        <is>
          <t>P0028</t>
        </is>
      </c>
      <c r="B65" s="3" t="inlineStr">
        <is>
          <t>盧天欣</t>
        </is>
      </c>
      <c r="C65" s="3" t="n">
        <v>20</v>
      </c>
      <c r="D65" s="3" t="inlineStr">
        <is>
          <t>2026/07/12</t>
        </is>
      </c>
      <c r="E65" s="3" t="inlineStr">
        <is>
          <t>2026/07/18</t>
        </is>
      </c>
      <c r="F65" s="3" t="inlineStr">
        <is>
          <t>否</t>
        </is>
      </c>
      <c r="G65" s="3">
        <f>SUMIFS(個人班表!$I$2:$I$784,個人班表!$B$2:$B$784,$A65,個人班表!$D$2:$D$784,"&gt;="&amp;$D65,個人班表!$D$2:$D$784,"&lt;="&amp;$E65)</f>
        <v/>
      </c>
      <c r="H65" s="3">
        <f>IF(G65&gt;=17,"是","否")</f>
        <v/>
      </c>
      <c r="I65" s="3">
        <f>SUM(G62:G65)</f>
        <v/>
      </c>
      <c r="J65" s="3">
        <f>IF(I65&gt;=68,"是","否")</f>
        <v/>
      </c>
      <c r="K65" s="3">
        <f>IF(C65&gt;=4,"是","否")</f>
        <v/>
      </c>
      <c r="L65" s="3">
        <f>IF(AND(K65="是",OR(H65="是",J65="是")),"是","否")</f>
        <v/>
      </c>
      <c r="M65" s="3">
        <f>IF(L65="是",MIN(7,DATEDIF(DATEVALUE(SUBSTITUTE($D65,"/","-")),MIN(DATEVALUE(SUBSTITUTE($E65,"/","-")),DATEVALUE(SUBSTITUTE($N65,"/","-"))),"d")+1),0)</f>
        <v/>
      </c>
      <c r="N65" s="3">
        <f>MAXIFS(個人班表!$D$2:$D$784,個人班表!$B$2:$B$784,$A65)</f>
        <v/>
      </c>
      <c r="O65" s="3">
        <f>IF(L65&lt;&gt;"是",0,IF(AND($A65=$A64,$L64="是"),O64+M65,M65))</f>
        <v/>
      </c>
    </row>
    <row r="66">
      <c r="A66" s="3" t="inlineStr">
        <is>
          <t>P0028</t>
        </is>
      </c>
      <c r="B66" s="3" t="inlineStr">
        <is>
          <t>盧天欣</t>
        </is>
      </c>
      <c r="C66" s="3" t="n">
        <v>21</v>
      </c>
      <c r="D66" s="3" t="inlineStr">
        <is>
          <t>2026/07/19</t>
        </is>
      </c>
      <c r="E66" s="3" t="inlineStr">
        <is>
          <t>2026/07/25</t>
        </is>
      </c>
      <c r="F66" s="3" t="inlineStr">
        <is>
          <t>否</t>
        </is>
      </c>
      <c r="G66" s="3">
        <f>SUMIFS(個人班表!$I$2:$I$784,個人班表!$B$2:$B$784,$A66,個人班表!$D$2:$D$784,"&gt;="&amp;$D66,個人班表!$D$2:$D$784,"&lt;="&amp;$E66)</f>
        <v/>
      </c>
      <c r="H66" s="3">
        <f>IF(G66&gt;=17,"是","否")</f>
        <v/>
      </c>
      <c r="I66" s="3">
        <f>SUM(G63:G66)</f>
        <v/>
      </c>
      <c r="J66" s="3">
        <f>IF(I66&gt;=68,"是","否")</f>
        <v/>
      </c>
      <c r="K66" s="3">
        <f>IF(C66&gt;=4,"是","否")</f>
        <v/>
      </c>
      <c r="L66" s="3">
        <f>IF(AND(K66="是",OR(H66="是",J66="是")),"是","否")</f>
        <v/>
      </c>
      <c r="M66" s="3">
        <f>IF(L66="是",MIN(7,DATEDIF(DATEVALUE(SUBSTITUTE($D66,"/","-")),MIN(DATEVALUE(SUBSTITUTE($E66,"/","-")),DATEVALUE(SUBSTITUTE($N66,"/","-"))),"d")+1),0)</f>
        <v/>
      </c>
      <c r="N66" s="3">
        <f>MAXIFS(個人班表!$D$2:$D$784,個人班表!$B$2:$B$784,$A66)</f>
        <v/>
      </c>
      <c r="O66" s="3">
        <f>IF(L66&lt;&gt;"是",0,IF(AND($A66=$A65,$L65="是"),O65+M66,M66))</f>
        <v/>
      </c>
    </row>
    <row r="67">
      <c r="A67" s="3" t="inlineStr">
        <is>
          <t>P0028</t>
        </is>
      </c>
      <c r="B67" s="3" t="inlineStr">
        <is>
          <t>盧天欣</t>
        </is>
      </c>
      <c r="C67" s="3" t="n">
        <v>22</v>
      </c>
      <c r="D67" s="3" t="inlineStr">
        <is>
          <t>2026/07/26</t>
        </is>
      </c>
      <c r="E67" s="3" t="inlineStr">
        <is>
          <t>2026/08/01</t>
        </is>
      </c>
      <c r="F67" s="3" t="inlineStr">
        <is>
          <t>是</t>
        </is>
      </c>
      <c r="G67" s="3">
        <f>SUMIFS(個人班表!$I$2:$I$784,個人班表!$B$2:$B$784,$A67,個人班表!$D$2:$D$784,"&gt;="&amp;$D67,個人班表!$D$2:$D$784,"&lt;="&amp;$E67)</f>
        <v/>
      </c>
      <c r="H67" s="3">
        <f>IF(G67&gt;=17,"是","否")</f>
        <v/>
      </c>
      <c r="I67" s="3">
        <f>SUM(G64:G67)</f>
        <v/>
      </c>
      <c r="J67" s="3">
        <f>IF(I67&gt;=68,"是","否")</f>
        <v/>
      </c>
      <c r="K67" s="3">
        <f>IF(C67&gt;=4,"是","否")</f>
        <v/>
      </c>
      <c r="L67" s="3">
        <f>IF(AND(K67="是",OR(H67="是",J67="是")),"是","否")</f>
        <v/>
      </c>
      <c r="M67" s="3">
        <f>IF(L67="是",MIN(7,DATEDIF(DATEVALUE(SUBSTITUTE($D67,"/","-")),MIN(DATEVALUE(SUBSTITUTE($E67,"/","-")),DATEVALUE(SUBSTITUTE($N67,"/","-"))),"d")+1),0)</f>
        <v/>
      </c>
      <c r="N67" s="3">
        <f>MAXIFS(個人班表!$D$2:$D$784,個人班表!$B$2:$B$784,$A67)</f>
        <v/>
      </c>
      <c r="O67" s="3">
        <f>IF(L67&lt;&gt;"是",0,IF(AND($A67=$A66,$L66="是"),O66+M67,M67))</f>
        <v/>
      </c>
    </row>
    <row r="68">
      <c r="A68" s="3" t="inlineStr">
        <is>
          <t>P0029</t>
        </is>
      </c>
      <c r="B68" s="3" t="inlineStr">
        <is>
          <t>林惠嫻</t>
        </is>
      </c>
      <c r="C68" s="3" t="n">
        <v>1</v>
      </c>
      <c r="D68" s="3" t="inlineStr">
        <is>
          <t>2026/03/01</t>
        </is>
      </c>
      <c r="E68" s="3" t="inlineStr">
        <is>
          <t>2026/03/07</t>
        </is>
      </c>
      <c r="F68" s="3" t="inlineStr">
        <is>
          <t>否</t>
        </is>
      </c>
      <c r="G68" s="3">
        <f>SUMIFS(個人班表!$I$2:$I$784,個人班表!$B$2:$B$784,$A68,個人班表!$D$2:$D$784,"&gt;="&amp;$D68,個人班表!$D$2:$D$784,"&lt;="&amp;$E68)</f>
        <v/>
      </c>
      <c r="H68" s="3">
        <f>IF(G68&gt;=17,"是","否")</f>
        <v/>
      </c>
      <c r="I68" s="3">
        <f>SUM(G68:G68)</f>
        <v/>
      </c>
      <c r="J68" s="3">
        <f>IF(I68&gt;=68,"是","否")</f>
        <v/>
      </c>
      <c r="K68" s="3">
        <f>IF(C68&gt;=4,"是","否")</f>
        <v/>
      </c>
      <c r="L68" s="3">
        <f>IF(AND(K68="是",OR(H68="是",J68="是")),"是","否")</f>
        <v/>
      </c>
      <c r="M68" s="3">
        <f>IF(L68="是",MIN(7,DATEDIF(DATEVALUE(SUBSTITUTE($D68,"/","-")),MIN(DATEVALUE(SUBSTITUTE($E68,"/","-")),DATEVALUE(SUBSTITUTE($N68,"/","-"))),"d")+1),0)</f>
        <v/>
      </c>
      <c r="N68" s="3">
        <f>MAXIFS(個人班表!$D$2:$D$784,個人班表!$B$2:$B$784,$A68)</f>
        <v/>
      </c>
      <c r="O68" s="3">
        <f>IF(L68&lt;&gt;"是",0,M68)</f>
        <v/>
      </c>
    </row>
    <row r="69">
      <c r="A69" s="3" t="inlineStr">
        <is>
          <t>P0029</t>
        </is>
      </c>
      <c r="B69" s="3" t="inlineStr">
        <is>
          <t>林惠嫻</t>
        </is>
      </c>
      <c r="C69" s="3" t="n">
        <v>2</v>
      </c>
      <c r="D69" s="3" t="inlineStr">
        <is>
          <t>2026/03/08</t>
        </is>
      </c>
      <c r="E69" s="3" t="inlineStr">
        <is>
          <t>2026/03/14</t>
        </is>
      </c>
      <c r="F69" s="3" t="inlineStr">
        <is>
          <t>否</t>
        </is>
      </c>
      <c r="G69" s="3">
        <f>SUMIFS(個人班表!$I$2:$I$784,個人班表!$B$2:$B$784,$A69,個人班表!$D$2:$D$784,"&gt;="&amp;$D69,個人班表!$D$2:$D$784,"&lt;="&amp;$E69)</f>
        <v/>
      </c>
      <c r="H69" s="3">
        <f>IF(G69&gt;=17,"是","否")</f>
        <v/>
      </c>
      <c r="I69" s="3">
        <f>SUM(G68:G69)</f>
        <v/>
      </c>
      <c r="J69" s="3">
        <f>IF(I69&gt;=68,"是","否")</f>
        <v/>
      </c>
      <c r="K69" s="3">
        <f>IF(C69&gt;=4,"是","否")</f>
        <v/>
      </c>
      <c r="L69" s="3">
        <f>IF(AND(K69="是",OR(H69="是",J69="是")),"是","否")</f>
        <v/>
      </c>
      <c r="M69" s="3">
        <f>IF(L69="是",MIN(7,DATEDIF(DATEVALUE(SUBSTITUTE($D69,"/","-")),MIN(DATEVALUE(SUBSTITUTE($E69,"/","-")),DATEVALUE(SUBSTITUTE($N69,"/","-"))),"d")+1),0)</f>
        <v/>
      </c>
      <c r="N69" s="3">
        <f>MAXIFS(個人班表!$D$2:$D$784,個人班表!$B$2:$B$784,$A69)</f>
        <v/>
      </c>
      <c r="O69" s="3">
        <f>IF(L69&lt;&gt;"是",0,IF(AND($A69=$A68,$L68="是"),O68+M69,M69))</f>
        <v/>
      </c>
    </row>
    <row r="70">
      <c r="A70" s="3" t="inlineStr">
        <is>
          <t>P0029</t>
        </is>
      </c>
      <c r="B70" s="3" t="inlineStr">
        <is>
          <t>林惠嫻</t>
        </is>
      </c>
      <c r="C70" s="3" t="n">
        <v>3</v>
      </c>
      <c r="D70" s="3" t="inlineStr">
        <is>
          <t>2026/03/15</t>
        </is>
      </c>
      <c r="E70" s="3" t="inlineStr">
        <is>
          <t>2026/03/21</t>
        </is>
      </c>
      <c r="F70" s="3" t="inlineStr">
        <is>
          <t>否</t>
        </is>
      </c>
      <c r="G70" s="3">
        <f>SUMIFS(個人班表!$I$2:$I$784,個人班表!$B$2:$B$784,$A70,個人班表!$D$2:$D$784,"&gt;="&amp;$D70,個人班表!$D$2:$D$784,"&lt;="&amp;$E70)</f>
        <v/>
      </c>
      <c r="H70" s="3">
        <f>IF(G70&gt;=17,"是","否")</f>
        <v/>
      </c>
      <c r="I70" s="3">
        <f>SUM(G68:G70)</f>
        <v/>
      </c>
      <c r="J70" s="3">
        <f>IF(I70&gt;=68,"是","否")</f>
        <v/>
      </c>
      <c r="K70" s="3">
        <f>IF(C70&gt;=4,"是","否")</f>
        <v/>
      </c>
      <c r="L70" s="3">
        <f>IF(AND(K70="是",OR(H70="是",J70="是")),"是","否")</f>
        <v/>
      </c>
      <c r="M70" s="3">
        <f>IF(L70="是",MIN(7,DATEDIF(DATEVALUE(SUBSTITUTE($D70,"/","-")),MIN(DATEVALUE(SUBSTITUTE($E70,"/","-")),DATEVALUE(SUBSTITUTE($N70,"/","-"))),"d")+1),0)</f>
        <v/>
      </c>
      <c r="N70" s="3">
        <f>MAXIFS(個人班表!$D$2:$D$784,個人班表!$B$2:$B$784,$A70)</f>
        <v/>
      </c>
      <c r="O70" s="3">
        <f>IF(L70&lt;&gt;"是",0,IF(AND($A70=$A69,$L69="是"),O69+M70,M70))</f>
        <v/>
      </c>
    </row>
    <row r="71">
      <c r="A71" s="3" t="inlineStr">
        <is>
          <t>P0029</t>
        </is>
      </c>
      <c r="B71" s="3" t="inlineStr">
        <is>
          <t>林惠嫻</t>
        </is>
      </c>
      <c r="C71" s="3" t="n">
        <v>4</v>
      </c>
      <c r="D71" s="3" t="inlineStr">
        <is>
          <t>2026/03/22</t>
        </is>
      </c>
      <c r="E71" s="3" t="inlineStr">
        <is>
          <t>2026/03/28</t>
        </is>
      </c>
      <c r="F71" s="3" t="inlineStr">
        <is>
          <t>是</t>
        </is>
      </c>
      <c r="G71" s="3">
        <f>SUMIFS(個人班表!$I$2:$I$784,個人班表!$B$2:$B$784,$A71,個人班表!$D$2:$D$784,"&gt;="&amp;$D71,個人班表!$D$2:$D$784,"&lt;="&amp;$E71)</f>
        <v/>
      </c>
      <c r="H71" s="3">
        <f>IF(G71&gt;=17,"是","否")</f>
        <v/>
      </c>
      <c r="I71" s="3">
        <f>SUM(G68:G71)</f>
        <v/>
      </c>
      <c r="J71" s="3">
        <f>IF(I71&gt;=68,"是","否")</f>
        <v/>
      </c>
      <c r="K71" s="3">
        <f>IF(C71&gt;=4,"是","否")</f>
        <v/>
      </c>
      <c r="L71" s="3">
        <f>IF(AND(K71="是",OR(H71="是",J71="是")),"是","否")</f>
        <v/>
      </c>
      <c r="M71" s="3">
        <f>IF(L71="是",MIN(7,DATEDIF(DATEVALUE(SUBSTITUTE($D71,"/","-")),MIN(DATEVALUE(SUBSTITUTE($E71,"/","-")),DATEVALUE(SUBSTITUTE($N71,"/","-"))),"d")+1),0)</f>
        <v/>
      </c>
      <c r="N71" s="3">
        <f>MAXIFS(個人班表!$D$2:$D$784,個人班表!$B$2:$B$784,$A71)</f>
        <v/>
      </c>
      <c r="O71" s="3">
        <f>IF(L71&lt;&gt;"是",0,IF(AND($A71=$A70,$L70="是"),O70+M71,M71))</f>
        <v/>
      </c>
    </row>
    <row r="72">
      <c r="A72" s="3" t="inlineStr">
        <is>
          <t>P0030</t>
        </is>
      </c>
      <c r="B72" s="3" t="inlineStr">
        <is>
          <t>周夏愉</t>
        </is>
      </c>
      <c r="C72" s="3" t="n">
        <v>1</v>
      </c>
      <c r="D72" s="3" t="inlineStr">
        <is>
          <t>2026/03/09</t>
        </is>
      </c>
      <c r="E72" s="3" t="inlineStr">
        <is>
          <t>2026/03/15</t>
        </is>
      </c>
      <c r="F72" s="3" t="inlineStr">
        <is>
          <t>否</t>
        </is>
      </c>
      <c r="G72" s="3">
        <f>SUMIFS(個人班表!$I$2:$I$784,個人班表!$B$2:$B$784,$A72,個人班表!$D$2:$D$784,"&gt;="&amp;$D72,個人班表!$D$2:$D$784,"&lt;="&amp;$E72)</f>
        <v/>
      </c>
      <c r="H72" s="3">
        <f>IF(G72&gt;=17,"是","否")</f>
        <v/>
      </c>
      <c r="I72" s="3">
        <f>SUM(G72:G72)</f>
        <v/>
      </c>
      <c r="J72" s="3">
        <f>IF(I72&gt;=68,"是","否")</f>
        <v/>
      </c>
      <c r="K72" s="3">
        <f>IF(C72&gt;=4,"是","否")</f>
        <v/>
      </c>
      <c r="L72" s="3">
        <f>IF(AND(K72="是",OR(H72="是",J72="是")),"是","否")</f>
        <v/>
      </c>
      <c r="M72" s="3">
        <f>IF(L72="是",MIN(7,DATEDIF(DATEVALUE(SUBSTITUTE($D72,"/","-")),MIN(DATEVALUE(SUBSTITUTE($E72,"/","-")),DATEVALUE(SUBSTITUTE($N72,"/","-"))),"d")+1),0)</f>
        <v/>
      </c>
      <c r="N72" s="3">
        <f>MAXIFS(個人班表!$D$2:$D$784,個人班表!$B$2:$B$784,$A72)</f>
        <v/>
      </c>
      <c r="O72" s="3">
        <f>IF(L72&lt;&gt;"是",0,M72)</f>
        <v/>
      </c>
    </row>
    <row r="73">
      <c r="A73" s="3" t="inlineStr">
        <is>
          <t>P0030</t>
        </is>
      </c>
      <c r="B73" s="3" t="inlineStr">
        <is>
          <t>周夏愉</t>
        </is>
      </c>
      <c r="C73" s="3" t="n">
        <v>2</v>
      </c>
      <c r="D73" s="3" t="inlineStr">
        <is>
          <t>2026/03/16</t>
        </is>
      </c>
      <c r="E73" s="3" t="inlineStr">
        <is>
          <t>2026/03/22</t>
        </is>
      </c>
      <c r="F73" s="3" t="inlineStr">
        <is>
          <t>否</t>
        </is>
      </c>
      <c r="G73" s="3">
        <f>SUMIFS(個人班表!$I$2:$I$784,個人班表!$B$2:$B$784,$A73,個人班表!$D$2:$D$784,"&gt;="&amp;$D73,個人班表!$D$2:$D$784,"&lt;="&amp;$E73)</f>
        <v/>
      </c>
      <c r="H73" s="3">
        <f>IF(G73&gt;=17,"是","否")</f>
        <v/>
      </c>
      <c r="I73" s="3">
        <f>SUM(G72:G73)</f>
        <v/>
      </c>
      <c r="J73" s="3">
        <f>IF(I73&gt;=68,"是","否")</f>
        <v/>
      </c>
      <c r="K73" s="3">
        <f>IF(C73&gt;=4,"是","否")</f>
        <v/>
      </c>
      <c r="L73" s="3">
        <f>IF(AND(K73="是",OR(H73="是",J73="是")),"是","否")</f>
        <v/>
      </c>
      <c r="M73" s="3">
        <f>IF(L73="是",MIN(7,DATEDIF(DATEVALUE(SUBSTITUTE($D73,"/","-")),MIN(DATEVALUE(SUBSTITUTE($E73,"/","-")),DATEVALUE(SUBSTITUTE($N73,"/","-"))),"d")+1),0)</f>
        <v/>
      </c>
      <c r="N73" s="3">
        <f>MAXIFS(個人班表!$D$2:$D$784,個人班表!$B$2:$B$784,$A73)</f>
        <v/>
      </c>
      <c r="O73" s="3">
        <f>IF(L73&lt;&gt;"是",0,IF(AND($A73=$A72,$L72="是"),O72+M73,M73))</f>
        <v/>
      </c>
    </row>
    <row r="74">
      <c r="A74" s="3" t="inlineStr">
        <is>
          <t>P0030</t>
        </is>
      </c>
      <c r="B74" s="3" t="inlineStr">
        <is>
          <t>周夏愉</t>
        </is>
      </c>
      <c r="C74" s="3" t="n">
        <v>3</v>
      </c>
      <c r="D74" s="3" t="inlineStr">
        <is>
          <t>2026/03/23</t>
        </is>
      </c>
      <c r="E74" s="3" t="inlineStr">
        <is>
          <t>2026/03/29</t>
        </is>
      </c>
      <c r="F74" s="3" t="inlineStr">
        <is>
          <t>否</t>
        </is>
      </c>
      <c r="G74" s="3">
        <f>SUMIFS(個人班表!$I$2:$I$784,個人班表!$B$2:$B$784,$A74,個人班表!$D$2:$D$784,"&gt;="&amp;$D74,個人班表!$D$2:$D$784,"&lt;="&amp;$E74)</f>
        <v/>
      </c>
      <c r="H74" s="3">
        <f>IF(G74&gt;=17,"是","否")</f>
        <v/>
      </c>
      <c r="I74" s="3">
        <f>SUM(G72:G74)</f>
        <v/>
      </c>
      <c r="J74" s="3">
        <f>IF(I74&gt;=68,"是","否")</f>
        <v/>
      </c>
      <c r="K74" s="3">
        <f>IF(C74&gt;=4,"是","否")</f>
        <v/>
      </c>
      <c r="L74" s="3">
        <f>IF(AND(K74="是",OR(H74="是",J74="是")),"是","否")</f>
        <v/>
      </c>
      <c r="M74" s="3">
        <f>IF(L74="是",MIN(7,DATEDIF(DATEVALUE(SUBSTITUTE($D74,"/","-")),MIN(DATEVALUE(SUBSTITUTE($E74,"/","-")),DATEVALUE(SUBSTITUTE($N74,"/","-"))),"d")+1),0)</f>
        <v/>
      </c>
      <c r="N74" s="3">
        <f>MAXIFS(個人班表!$D$2:$D$784,個人班表!$B$2:$B$784,$A74)</f>
        <v/>
      </c>
      <c r="O74" s="3">
        <f>IF(L74&lt;&gt;"是",0,IF(AND($A74=$A73,$L73="是"),O73+M74,M74))</f>
        <v/>
      </c>
    </row>
    <row r="75">
      <c r="A75" s="3" t="inlineStr">
        <is>
          <t>P0030</t>
        </is>
      </c>
      <c r="B75" s="3" t="inlineStr">
        <is>
          <t>周夏愉</t>
        </is>
      </c>
      <c r="C75" s="3" t="n">
        <v>4</v>
      </c>
      <c r="D75" s="3" t="inlineStr">
        <is>
          <t>2026/03/30</t>
        </is>
      </c>
      <c r="E75" s="3" t="inlineStr">
        <is>
          <t>2026/04/05</t>
        </is>
      </c>
      <c r="F75" s="3" t="inlineStr">
        <is>
          <t>否</t>
        </is>
      </c>
      <c r="G75" s="3">
        <f>SUMIFS(個人班表!$I$2:$I$784,個人班表!$B$2:$B$784,$A75,個人班表!$D$2:$D$784,"&gt;="&amp;$D75,個人班表!$D$2:$D$784,"&lt;="&amp;$E75)</f>
        <v/>
      </c>
      <c r="H75" s="3">
        <f>IF(G75&gt;=17,"是","否")</f>
        <v/>
      </c>
      <c r="I75" s="3">
        <f>SUM(G72:G75)</f>
        <v/>
      </c>
      <c r="J75" s="3">
        <f>IF(I75&gt;=68,"是","否")</f>
        <v/>
      </c>
      <c r="K75" s="3">
        <f>IF(C75&gt;=4,"是","否")</f>
        <v/>
      </c>
      <c r="L75" s="3">
        <f>IF(AND(K75="是",OR(H75="是",J75="是")),"是","否")</f>
        <v/>
      </c>
      <c r="M75" s="3">
        <f>IF(L75="是",MIN(7,DATEDIF(DATEVALUE(SUBSTITUTE($D75,"/","-")),MIN(DATEVALUE(SUBSTITUTE($E75,"/","-")),DATEVALUE(SUBSTITUTE($N75,"/","-"))),"d")+1),0)</f>
        <v/>
      </c>
      <c r="N75" s="3">
        <f>MAXIFS(個人班表!$D$2:$D$784,個人班表!$B$2:$B$784,$A75)</f>
        <v/>
      </c>
      <c r="O75" s="3">
        <f>IF(L75&lt;&gt;"是",0,IF(AND($A75=$A74,$L74="是"),O74+M75,M75))</f>
        <v/>
      </c>
    </row>
    <row r="76">
      <c r="A76" s="3" t="inlineStr">
        <is>
          <t>P0030</t>
        </is>
      </c>
      <c r="B76" s="3" t="inlineStr">
        <is>
          <t>周夏愉</t>
        </is>
      </c>
      <c r="C76" s="3" t="n">
        <v>5</v>
      </c>
      <c r="D76" s="3" t="inlineStr">
        <is>
          <t>2026/04/06</t>
        </is>
      </c>
      <c r="E76" s="3" t="inlineStr">
        <is>
          <t>2026/04/12</t>
        </is>
      </c>
      <c r="F76" s="3" t="inlineStr">
        <is>
          <t>否</t>
        </is>
      </c>
      <c r="G76" s="3">
        <f>SUMIFS(個人班表!$I$2:$I$784,個人班表!$B$2:$B$784,$A76,個人班表!$D$2:$D$784,"&gt;="&amp;$D76,個人班表!$D$2:$D$784,"&lt;="&amp;$E76)</f>
        <v/>
      </c>
      <c r="H76" s="3">
        <f>IF(G76&gt;=17,"是","否")</f>
        <v/>
      </c>
      <c r="I76" s="3">
        <f>SUM(G73:G76)</f>
        <v/>
      </c>
      <c r="J76" s="3">
        <f>IF(I76&gt;=68,"是","否")</f>
        <v/>
      </c>
      <c r="K76" s="3">
        <f>IF(C76&gt;=4,"是","否")</f>
        <v/>
      </c>
      <c r="L76" s="3">
        <f>IF(AND(K76="是",OR(H76="是",J76="是")),"是","否")</f>
        <v/>
      </c>
      <c r="M76" s="3">
        <f>IF(L76="是",MIN(7,DATEDIF(DATEVALUE(SUBSTITUTE($D76,"/","-")),MIN(DATEVALUE(SUBSTITUTE($E76,"/","-")),DATEVALUE(SUBSTITUTE($N76,"/","-"))),"d")+1),0)</f>
        <v/>
      </c>
      <c r="N76" s="3">
        <f>MAXIFS(個人班表!$D$2:$D$784,個人班表!$B$2:$B$784,$A76)</f>
        <v/>
      </c>
      <c r="O76" s="3">
        <f>IF(L76&lt;&gt;"是",0,IF(AND($A76=$A75,$L75="是"),O75+M76,M76))</f>
        <v/>
      </c>
    </row>
    <row r="77">
      <c r="A77" s="3" t="inlineStr">
        <is>
          <t>P0030</t>
        </is>
      </c>
      <c r="B77" s="3" t="inlineStr">
        <is>
          <t>周夏愉</t>
        </is>
      </c>
      <c r="C77" s="3" t="n">
        <v>6</v>
      </c>
      <c r="D77" s="3" t="inlineStr">
        <is>
          <t>2026/04/13</t>
        </is>
      </c>
      <c r="E77" s="3" t="inlineStr">
        <is>
          <t>2026/04/19</t>
        </is>
      </c>
      <c r="F77" s="3" t="inlineStr">
        <is>
          <t>否</t>
        </is>
      </c>
      <c r="G77" s="3">
        <f>SUMIFS(個人班表!$I$2:$I$784,個人班表!$B$2:$B$784,$A77,個人班表!$D$2:$D$784,"&gt;="&amp;$D77,個人班表!$D$2:$D$784,"&lt;="&amp;$E77)</f>
        <v/>
      </c>
      <c r="H77" s="3">
        <f>IF(G77&gt;=17,"是","否")</f>
        <v/>
      </c>
      <c r="I77" s="3">
        <f>SUM(G74:G77)</f>
        <v/>
      </c>
      <c r="J77" s="3">
        <f>IF(I77&gt;=68,"是","否")</f>
        <v/>
      </c>
      <c r="K77" s="3">
        <f>IF(C77&gt;=4,"是","否")</f>
        <v/>
      </c>
      <c r="L77" s="3">
        <f>IF(AND(K77="是",OR(H77="是",J77="是")),"是","否")</f>
        <v/>
      </c>
      <c r="M77" s="3">
        <f>IF(L77="是",MIN(7,DATEDIF(DATEVALUE(SUBSTITUTE($D77,"/","-")),MIN(DATEVALUE(SUBSTITUTE($E77,"/","-")),DATEVALUE(SUBSTITUTE($N77,"/","-"))),"d")+1),0)</f>
        <v/>
      </c>
      <c r="N77" s="3">
        <f>MAXIFS(個人班表!$D$2:$D$784,個人班表!$B$2:$B$784,$A77)</f>
        <v/>
      </c>
      <c r="O77" s="3">
        <f>IF(L77&lt;&gt;"是",0,IF(AND($A77=$A76,$L76="是"),O76+M77,M77))</f>
        <v/>
      </c>
    </row>
    <row r="78">
      <c r="A78" s="3" t="inlineStr">
        <is>
          <t>P0030</t>
        </is>
      </c>
      <c r="B78" s="3" t="inlineStr">
        <is>
          <t>周夏愉</t>
        </is>
      </c>
      <c r="C78" s="3" t="n">
        <v>7</v>
      </c>
      <c r="D78" s="3" t="inlineStr">
        <is>
          <t>2026/04/20</t>
        </is>
      </c>
      <c r="E78" s="3" t="inlineStr">
        <is>
          <t>2026/04/26</t>
        </is>
      </c>
      <c r="F78" s="3" t="inlineStr">
        <is>
          <t>否</t>
        </is>
      </c>
      <c r="G78" s="3">
        <f>SUMIFS(個人班表!$I$2:$I$784,個人班表!$B$2:$B$784,$A78,個人班表!$D$2:$D$784,"&gt;="&amp;$D78,個人班表!$D$2:$D$784,"&lt;="&amp;$E78)</f>
        <v/>
      </c>
      <c r="H78" s="3">
        <f>IF(G78&gt;=17,"是","否")</f>
        <v/>
      </c>
      <c r="I78" s="3">
        <f>SUM(G75:G78)</f>
        <v/>
      </c>
      <c r="J78" s="3">
        <f>IF(I78&gt;=68,"是","否")</f>
        <v/>
      </c>
      <c r="K78" s="3">
        <f>IF(C78&gt;=4,"是","否")</f>
        <v/>
      </c>
      <c r="L78" s="3">
        <f>IF(AND(K78="是",OR(H78="是",J78="是")),"是","否")</f>
        <v/>
      </c>
      <c r="M78" s="3">
        <f>IF(L78="是",MIN(7,DATEDIF(DATEVALUE(SUBSTITUTE($D78,"/","-")),MIN(DATEVALUE(SUBSTITUTE($E78,"/","-")),DATEVALUE(SUBSTITUTE($N78,"/","-"))),"d")+1),0)</f>
        <v/>
      </c>
      <c r="N78" s="3">
        <f>MAXIFS(個人班表!$D$2:$D$784,個人班表!$B$2:$B$784,$A78)</f>
        <v/>
      </c>
      <c r="O78" s="3">
        <f>IF(L78&lt;&gt;"是",0,IF(AND($A78=$A77,$L77="是"),O77+M78,M78))</f>
        <v/>
      </c>
    </row>
    <row r="79">
      <c r="A79" s="3" t="inlineStr">
        <is>
          <t>P0030</t>
        </is>
      </c>
      <c r="B79" s="3" t="inlineStr">
        <is>
          <t>周夏愉</t>
        </is>
      </c>
      <c r="C79" s="3" t="n">
        <v>8</v>
      </c>
      <c r="D79" s="3" t="inlineStr">
        <is>
          <t>2026/04/27</t>
        </is>
      </c>
      <c r="E79" s="3" t="inlineStr">
        <is>
          <t>2026/05/03</t>
        </is>
      </c>
      <c r="F79" s="3" t="inlineStr">
        <is>
          <t>否</t>
        </is>
      </c>
      <c r="G79" s="3">
        <f>SUMIFS(個人班表!$I$2:$I$784,個人班表!$B$2:$B$784,$A79,個人班表!$D$2:$D$784,"&gt;="&amp;$D79,個人班表!$D$2:$D$784,"&lt;="&amp;$E79)</f>
        <v/>
      </c>
      <c r="H79" s="3">
        <f>IF(G79&gt;=17,"是","否")</f>
        <v/>
      </c>
      <c r="I79" s="3">
        <f>SUM(G76:G79)</f>
        <v/>
      </c>
      <c r="J79" s="3">
        <f>IF(I79&gt;=68,"是","否")</f>
        <v/>
      </c>
      <c r="K79" s="3">
        <f>IF(C79&gt;=4,"是","否")</f>
        <v/>
      </c>
      <c r="L79" s="3">
        <f>IF(AND(K79="是",OR(H79="是",J79="是")),"是","否")</f>
        <v/>
      </c>
      <c r="M79" s="3">
        <f>IF(L79="是",MIN(7,DATEDIF(DATEVALUE(SUBSTITUTE($D79,"/","-")),MIN(DATEVALUE(SUBSTITUTE($E79,"/","-")),DATEVALUE(SUBSTITUTE($N79,"/","-"))),"d")+1),0)</f>
        <v/>
      </c>
      <c r="N79" s="3">
        <f>MAXIFS(個人班表!$D$2:$D$784,個人班表!$B$2:$B$784,$A79)</f>
        <v/>
      </c>
      <c r="O79" s="3">
        <f>IF(L79&lt;&gt;"是",0,IF(AND($A79=$A78,$L78="是"),O78+M79,M79))</f>
        <v/>
      </c>
    </row>
    <row r="80">
      <c r="A80" s="3" t="inlineStr">
        <is>
          <t>P0030</t>
        </is>
      </c>
      <c r="B80" s="3" t="inlineStr">
        <is>
          <t>周夏愉</t>
        </is>
      </c>
      <c r="C80" s="3" t="n">
        <v>9</v>
      </c>
      <c r="D80" s="3" t="inlineStr">
        <is>
          <t>2026/05/04</t>
        </is>
      </c>
      <c r="E80" s="3" t="inlineStr">
        <is>
          <t>2026/05/10</t>
        </is>
      </c>
      <c r="F80" s="3" t="inlineStr">
        <is>
          <t>否</t>
        </is>
      </c>
      <c r="G80" s="3">
        <f>SUMIFS(個人班表!$I$2:$I$784,個人班表!$B$2:$B$784,$A80,個人班表!$D$2:$D$784,"&gt;="&amp;$D80,個人班表!$D$2:$D$784,"&lt;="&amp;$E80)</f>
        <v/>
      </c>
      <c r="H80" s="3">
        <f>IF(G80&gt;=17,"是","否")</f>
        <v/>
      </c>
      <c r="I80" s="3">
        <f>SUM(G77:G80)</f>
        <v/>
      </c>
      <c r="J80" s="3">
        <f>IF(I80&gt;=68,"是","否")</f>
        <v/>
      </c>
      <c r="K80" s="3">
        <f>IF(C80&gt;=4,"是","否")</f>
        <v/>
      </c>
      <c r="L80" s="3">
        <f>IF(AND(K80="是",OR(H80="是",J80="是")),"是","否")</f>
        <v/>
      </c>
      <c r="M80" s="3">
        <f>IF(L80="是",MIN(7,DATEDIF(DATEVALUE(SUBSTITUTE($D80,"/","-")),MIN(DATEVALUE(SUBSTITUTE($E80,"/","-")),DATEVALUE(SUBSTITUTE($N80,"/","-"))),"d")+1),0)</f>
        <v/>
      </c>
      <c r="N80" s="3">
        <f>MAXIFS(個人班表!$D$2:$D$784,個人班表!$B$2:$B$784,$A80)</f>
        <v/>
      </c>
      <c r="O80" s="3">
        <f>IF(L80&lt;&gt;"是",0,IF(AND($A80=$A79,$L79="是"),O79+M80,M80))</f>
        <v/>
      </c>
    </row>
    <row r="81">
      <c r="A81" s="3" t="inlineStr">
        <is>
          <t>P0030</t>
        </is>
      </c>
      <c r="B81" s="3" t="inlineStr">
        <is>
          <t>周夏愉</t>
        </is>
      </c>
      <c r="C81" s="3" t="n">
        <v>10</v>
      </c>
      <c r="D81" s="3" t="inlineStr">
        <is>
          <t>2026/05/11</t>
        </is>
      </c>
      <c r="E81" s="3" t="inlineStr">
        <is>
          <t>2026/05/17</t>
        </is>
      </c>
      <c r="F81" s="3" t="inlineStr">
        <is>
          <t>否</t>
        </is>
      </c>
      <c r="G81" s="3">
        <f>SUMIFS(個人班表!$I$2:$I$784,個人班表!$B$2:$B$784,$A81,個人班表!$D$2:$D$784,"&gt;="&amp;$D81,個人班表!$D$2:$D$784,"&lt;="&amp;$E81)</f>
        <v/>
      </c>
      <c r="H81" s="3">
        <f>IF(G81&gt;=17,"是","否")</f>
        <v/>
      </c>
      <c r="I81" s="3">
        <f>SUM(G78:G81)</f>
        <v/>
      </c>
      <c r="J81" s="3">
        <f>IF(I81&gt;=68,"是","否")</f>
        <v/>
      </c>
      <c r="K81" s="3">
        <f>IF(C81&gt;=4,"是","否")</f>
        <v/>
      </c>
      <c r="L81" s="3">
        <f>IF(AND(K81="是",OR(H81="是",J81="是")),"是","否")</f>
        <v/>
      </c>
      <c r="M81" s="3">
        <f>IF(L81="是",MIN(7,DATEDIF(DATEVALUE(SUBSTITUTE($D81,"/","-")),MIN(DATEVALUE(SUBSTITUTE($E81,"/","-")),DATEVALUE(SUBSTITUTE($N81,"/","-"))),"d")+1),0)</f>
        <v/>
      </c>
      <c r="N81" s="3">
        <f>MAXIFS(個人班表!$D$2:$D$784,個人班表!$B$2:$B$784,$A81)</f>
        <v/>
      </c>
      <c r="O81" s="3">
        <f>IF(L81&lt;&gt;"是",0,IF(AND($A81=$A80,$L80="是"),O80+M81,M81))</f>
        <v/>
      </c>
    </row>
    <row r="82">
      <c r="A82" s="3" t="inlineStr">
        <is>
          <t>P0030</t>
        </is>
      </c>
      <c r="B82" s="3" t="inlineStr">
        <is>
          <t>周夏愉</t>
        </is>
      </c>
      <c r="C82" s="3" t="n">
        <v>11</v>
      </c>
      <c r="D82" s="3" t="inlineStr">
        <is>
          <t>2026/05/18</t>
        </is>
      </c>
      <c r="E82" s="3" t="inlineStr">
        <is>
          <t>2026/05/24</t>
        </is>
      </c>
      <c r="F82" s="3" t="inlineStr">
        <is>
          <t>否</t>
        </is>
      </c>
      <c r="G82" s="3">
        <f>SUMIFS(個人班表!$I$2:$I$784,個人班表!$B$2:$B$784,$A82,個人班表!$D$2:$D$784,"&gt;="&amp;$D82,個人班表!$D$2:$D$784,"&lt;="&amp;$E82)</f>
        <v/>
      </c>
      <c r="H82" s="3">
        <f>IF(G82&gt;=17,"是","否")</f>
        <v/>
      </c>
      <c r="I82" s="3">
        <f>SUM(G79:G82)</f>
        <v/>
      </c>
      <c r="J82" s="3">
        <f>IF(I82&gt;=68,"是","否")</f>
        <v/>
      </c>
      <c r="K82" s="3">
        <f>IF(C82&gt;=4,"是","否")</f>
        <v/>
      </c>
      <c r="L82" s="3">
        <f>IF(AND(K82="是",OR(H82="是",J82="是")),"是","否")</f>
        <v/>
      </c>
      <c r="M82" s="3">
        <f>IF(L82="是",MIN(7,DATEDIF(DATEVALUE(SUBSTITUTE($D82,"/","-")),MIN(DATEVALUE(SUBSTITUTE($E82,"/","-")),DATEVALUE(SUBSTITUTE($N82,"/","-"))),"d")+1),0)</f>
        <v/>
      </c>
      <c r="N82" s="3">
        <f>MAXIFS(個人班表!$D$2:$D$784,個人班表!$B$2:$B$784,$A82)</f>
        <v/>
      </c>
      <c r="O82" s="3">
        <f>IF(L82&lt;&gt;"是",0,IF(AND($A82=$A81,$L81="是"),O81+M82,M82))</f>
        <v/>
      </c>
    </row>
    <row r="83">
      <c r="A83" s="3" t="inlineStr">
        <is>
          <t>P0030</t>
        </is>
      </c>
      <c r="B83" s="3" t="inlineStr">
        <is>
          <t>周夏愉</t>
        </is>
      </c>
      <c r="C83" s="3" t="n">
        <v>12</v>
      </c>
      <c r="D83" s="3" t="inlineStr">
        <is>
          <t>2026/05/25</t>
        </is>
      </c>
      <c r="E83" s="3" t="inlineStr">
        <is>
          <t>2026/05/31</t>
        </is>
      </c>
      <c r="F83" s="3" t="inlineStr">
        <is>
          <t>否</t>
        </is>
      </c>
      <c r="G83" s="3">
        <f>SUMIFS(個人班表!$I$2:$I$784,個人班表!$B$2:$B$784,$A83,個人班表!$D$2:$D$784,"&gt;="&amp;$D83,個人班表!$D$2:$D$784,"&lt;="&amp;$E83)</f>
        <v/>
      </c>
      <c r="H83" s="3">
        <f>IF(G83&gt;=17,"是","否")</f>
        <v/>
      </c>
      <c r="I83" s="3">
        <f>SUM(G80:G83)</f>
        <v/>
      </c>
      <c r="J83" s="3">
        <f>IF(I83&gt;=68,"是","否")</f>
        <v/>
      </c>
      <c r="K83" s="3">
        <f>IF(C83&gt;=4,"是","否")</f>
        <v/>
      </c>
      <c r="L83" s="3">
        <f>IF(AND(K83="是",OR(H83="是",J83="是")),"是","否")</f>
        <v/>
      </c>
      <c r="M83" s="3">
        <f>IF(L83="是",MIN(7,DATEDIF(DATEVALUE(SUBSTITUTE($D83,"/","-")),MIN(DATEVALUE(SUBSTITUTE($E83,"/","-")),DATEVALUE(SUBSTITUTE($N83,"/","-"))),"d")+1),0)</f>
        <v/>
      </c>
      <c r="N83" s="3">
        <f>MAXIFS(個人班表!$D$2:$D$784,個人班表!$B$2:$B$784,$A83)</f>
        <v/>
      </c>
      <c r="O83" s="3">
        <f>IF(L83&lt;&gt;"是",0,IF(AND($A83=$A82,$L82="是"),O82+M83,M83))</f>
        <v/>
      </c>
    </row>
    <row r="84">
      <c r="A84" s="3" t="inlineStr">
        <is>
          <t>P0030</t>
        </is>
      </c>
      <c r="B84" s="3" t="inlineStr">
        <is>
          <t>周夏愉</t>
        </is>
      </c>
      <c r="C84" s="3" t="n">
        <v>13</v>
      </c>
      <c r="D84" s="3" t="inlineStr">
        <is>
          <t>2026/06/01</t>
        </is>
      </c>
      <c r="E84" s="3" t="inlineStr">
        <is>
          <t>2026/06/07</t>
        </is>
      </c>
      <c r="F84" s="3" t="inlineStr">
        <is>
          <t>否</t>
        </is>
      </c>
      <c r="G84" s="3">
        <f>SUMIFS(個人班表!$I$2:$I$784,個人班表!$B$2:$B$784,$A84,個人班表!$D$2:$D$784,"&gt;="&amp;$D84,個人班表!$D$2:$D$784,"&lt;="&amp;$E84)</f>
        <v/>
      </c>
      <c r="H84" s="3">
        <f>IF(G84&gt;=17,"是","否")</f>
        <v/>
      </c>
      <c r="I84" s="3">
        <f>SUM(G81:G84)</f>
        <v/>
      </c>
      <c r="J84" s="3">
        <f>IF(I84&gt;=68,"是","否")</f>
        <v/>
      </c>
      <c r="K84" s="3">
        <f>IF(C84&gt;=4,"是","否")</f>
        <v/>
      </c>
      <c r="L84" s="3">
        <f>IF(AND(K84="是",OR(H84="是",J84="是")),"是","否")</f>
        <v/>
      </c>
      <c r="M84" s="3">
        <f>IF(L84="是",MIN(7,DATEDIF(DATEVALUE(SUBSTITUTE($D84,"/","-")),MIN(DATEVALUE(SUBSTITUTE($E84,"/","-")),DATEVALUE(SUBSTITUTE($N84,"/","-"))),"d")+1),0)</f>
        <v/>
      </c>
      <c r="N84" s="3">
        <f>MAXIFS(個人班表!$D$2:$D$784,個人班表!$B$2:$B$784,$A84)</f>
        <v/>
      </c>
      <c r="O84" s="3">
        <f>IF(L84&lt;&gt;"是",0,IF(AND($A84=$A83,$L83="是"),O83+M84,M84))</f>
        <v/>
      </c>
    </row>
    <row r="85">
      <c r="A85" s="3" t="inlineStr">
        <is>
          <t>P0030</t>
        </is>
      </c>
      <c r="B85" s="3" t="inlineStr">
        <is>
          <t>周夏愉</t>
        </is>
      </c>
      <c r="C85" s="3" t="n">
        <v>14</v>
      </c>
      <c r="D85" s="3" t="inlineStr">
        <is>
          <t>2026/06/08</t>
        </is>
      </c>
      <c r="E85" s="3" t="inlineStr">
        <is>
          <t>2026/06/14</t>
        </is>
      </c>
      <c r="F85" s="3" t="inlineStr">
        <is>
          <t>否</t>
        </is>
      </c>
      <c r="G85" s="3">
        <f>SUMIFS(個人班表!$I$2:$I$784,個人班表!$B$2:$B$784,$A85,個人班表!$D$2:$D$784,"&gt;="&amp;$D85,個人班表!$D$2:$D$784,"&lt;="&amp;$E85)</f>
        <v/>
      </c>
      <c r="H85" s="3">
        <f>IF(G85&gt;=17,"是","否")</f>
        <v/>
      </c>
      <c r="I85" s="3">
        <f>SUM(G82:G85)</f>
        <v/>
      </c>
      <c r="J85" s="3">
        <f>IF(I85&gt;=68,"是","否")</f>
        <v/>
      </c>
      <c r="K85" s="3">
        <f>IF(C85&gt;=4,"是","否")</f>
        <v/>
      </c>
      <c r="L85" s="3">
        <f>IF(AND(K85="是",OR(H85="是",J85="是")),"是","否")</f>
        <v/>
      </c>
      <c r="M85" s="3">
        <f>IF(L85="是",MIN(7,DATEDIF(DATEVALUE(SUBSTITUTE($D85,"/","-")),MIN(DATEVALUE(SUBSTITUTE($E85,"/","-")),DATEVALUE(SUBSTITUTE($N85,"/","-"))),"d")+1),0)</f>
        <v/>
      </c>
      <c r="N85" s="3">
        <f>MAXIFS(個人班表!$D$2:$D$784,個人班表!$B$2:$B$784,$A85)</f>
        <v/>
      </c>
      <c r="O85" s="3">
        <f>IF(L85&lt;&gt;"是",0,IF(AND($A85=$A84,$L84="是"),O84+M85,M85))</f>
        <v/>
      </c>
    </row>
    <row r="86">
      <c r="A86" s="3" t="inlineStr">
        <is>
          <t>P0030</t>
        </is>
      </c>
      <c r="B86" s="3" t="inlineStr">
        <is>
          <t>周夏愉</t>
        </is>
      </c>
      <c r="C86" s="3" t="n">
        <v>15</v>
      </c>
      <c r="D86" s="3" t="inlineStr">
        <is>
          <t>2026/06/15</t>
        </is>
      </c>
      <c r="E86" s="3" t="inlineStr">
        <is>
          <t>2026/06/21</t>
        </is>
      </c>
      <c r="F86" s="3" t="inlineStr">
        <is>
          <t>否</t>
        </is>
      </c>
      <c r="G86" s="3">
        <f>SUMIFS(個人班表!$I$2:$I$784,個人班表!$B$2:$B$784,$A86,個人班表!$D$2:$D$784,"&gt;="&amp;$D86,個人班表!$D$2:$D$784,"&lt;="&amp;$E86)</f>
        <v/>
      </c>
      <c r="H86" s="3">
        <f>IF(G86&gt;=17,"是","否")</f>
        <v/>
      </c>
      <c r="I86" s="3">
        <f>SUM(G83:G86)</f>
        <v/>
      </c>
      <c r="J86" s="3">
        <f>IF(I86&gt;=68,"是","否")</f>
        <v/>
      </c>
      <c r="K86" s="3">
        <f>IF(C86&gt;=4,"是","否")</f>
        <v/>
      </c>
      <c r="L86" s="3">
        <f>IF(AND(K86="是",OR(H86="是",J86="是")),"是","否")</f>
        <v/>
      </c>
      <c r="M86" s="3">
        <f>IF(L86="是",MIN(7,DATEDIF(DATEVALUE(SUBSTITUTE($D86,"/","-")),MIN(DATEVALUE(SUBSTITUTE($E86,"/","-")),DATEVALUE(SUBSTITUTE($N86,"/","-"))),"d")+1),0)</f>
        <v/>
      </c>
      <c r="N86" s="3">
        <f>MAXIFS(個人班表!$D$2:$D$784,個人班表!$B$2:$B$784,$A86)</f>
        <v/>
      </c>
      <c r="O86" s="3">
        <f>IF(L86&lt;&gt;"是",0,IF(AND($A86=$A85,$L85="是"),O85+M86,M86))</f>
        <v/>
      </c>
    </row>
    <row r="87">
      <c r="A87" s="3" t="inlineStr">
        <is>
          <t>P0030</t>
        </is>
      </c>
      <c r="B87" s="3" t="inlineStr">
        <is>
          <t>周夏愉</t>
        </is>
      </c>
      <c r="C87" s="3" t="n">
        <v>16</v>
      </c>
      <c r="D87" s="3" t="inlineStr">
        <is>
          <t>2026/06/22</t>
        </is>
      </c>
      <c r="E87" s="3" t="inlineStr">
        <is>
          <t>2026/06/28</t>
        </is>
      </c>
      <c r="F87" s="3" t="inlineStr">
        <is>
          <t>否</t>
        </is>
      </c>
      <c r="G87" s="3">
        <f>SUMIFS(個人班表!$I$2:$I$784,個人班表!$B$2:$B$784,$A87,個人班表!$D$2:$D$784,"&gt;="&amp;$D87,個人班表!$D$2:$D$784,"&lt;="&amp;$E87)</f>
        <v/>
      </c>
      <c r="H87" s="3">
        <f>IF(G87&gt;=17,"是","否")</f>
        <v/>
      </c>
      <c r="I87" s="3">
        <f>SUM(G84:G87)</f>
        <v/>
      </c>
      <c r="J87" s="3">
        <f>IF(I87&gt;=68,"是","否")</f>
        <v/>
      </c>
      <c r="K87" s="3">
        <f>IF(C87&gt;=4,"是","否")</f>
        <v/>
      </c>
      <c r="L87" s="3">
        <f>IF(AND(K87="是",OR(H87="是",J87="是")),"是","否")</f>
        <v/>
      </c>
      <c r="M87" s="3">
        <f>IF(L87="是",MIN(7,DATEDIF(DATEVALUE(SUBSTITUTE($D87,"/","-")),MIN(DATEVALUE(SUBSTITUTE($E87,"/","-")),DATEVALUE(SUBSTITUTE($N87,"/","-"))),"d")+1),0)</f>
        <v/>
      </c>
      <c r="N87" s="3">
        <f>MAXIFS(個人班表!$D$2:$D$784,個人班表!$B$2:$B$784,$A87)</f>
        <v/>
      </c>
      <c r="O87" s="3">
        <f>IF(L87&lt;&gt;"是",0,IF(AND($A87=$A86,$L86="是"),O86+M87,M87))</f>
        <v/>
      </c>
    </row>
    <row r="88">
      <c r="A88" s="3" t="inlineStr">
        <is>
          <t>P0030</t>
        </is>
      </c>
      <c r="B88" s="3" t="inlineStr">
        <is>
          <t>周夏愉</t>
        </is>
      </c>
      <c r="C88" s="3" t="n">
        <v>17</v>
      </c>
      <c r="D88" s="3" t="inlineStr">
        <is>
          <t>2026/06/29</t>
        </is>
      </c>
      <c r="E88" s="3" t="inlineStr">
        <is>
          <t>2026/07/05</t>
        </is>
      </c>
      <c r="F88" s="3" t="inlineStr">
        <is>
          <t>否</t>
        </is>
      </c>
      <c r="G88" s="3">
        <f>SUMIFS(個人班表!$I$2:$I$784,個人班表!$B$2:$B$784,$A88,個人班表!$D$2:$D$784,"&gt;="&amp;$D88,個人班表!$D$2:$D$784,"&lt;="&amp;$E88)</f>
        <v/>
      </c>
      <c r="H88" s="3">
        <f>IF(G88&gt;=17,"是","否")</f>
        <v/>
      </c>
      <c r="I88" s="3">
        <f>SUM(G85:G88)</f>
        <v/>
      </c>
      <c r="J88" s="3">
        <f>IF(I88&gt;=68,"是","否")</f>
        <v/>
      </c>
      <c r="K88" s="3">
        <f>IF(C88&gt;=4,"是","否")</f>
        <v/>
      </c>
      <c r="L88" s="3">
        <f>IF(AND(K88="是",OR(H88="是",J88="是")),"是","否")</f>
        <v/>
      </c>
      <c r="M88" s="3">
        <f>IF(L88="是",MIN(7,DATEDIF(DATEVALUE(SUBSTITUTE($D88,"/","-")),MIN(DATEVALUE(SUBSTITUTE($E88,"/","-")),DATEVALUE(SUBSTITUTE($N88,"/","-"))),"d")+1),0)</f>
        <v/>
      </c>
      <c r="N88" s="3">
        <f>MAXIFS(個人班表!$D$2:$D$784,個人班表!$B$2:$B$784,$A88)</f>
        <v/>
      </c>
      <c r="O88" s="3">
        <f>IF(L88&lt;&gt;"是",0,IF(AND($A88=$A87,$L87="是"),O87+M88,M88))</f>
        <v/>
      </c>
    </row>
    <row r="89">
      <c r="A89" s="3" t="inlineStr">
        <is>
          <t>P0030</t>
        </is>
      </c>
      <c r="B89" s="3" t="inlineStr">
        <is>
          <t>周夏愉</t>
        </is>
      </c>
      <c r="C89" s="3" t="n">
        <v>18</v>
      </c>
      <c r="D89" s="3" t="inlineStr">
        <is>
          <t>2026/07/06</t>
        </is>
      </c>
      <c r="E89" s="3" t="inlineStr">
        <is>
          <t>2026/07/12</t>
        </is>
      </c>
      <c r="F89" s="3" t="inlineStr">
        <is>
          <t>否</t>
        </is>
      </c>
      <c r="G89" s="3">
        <f>SUMIFS(個人班表!$I$2:$I$784,個人班表!$B$2:$B$784,$A89,個人班表!$D$2:$D$784,"&gt;="&amp;$D89,個人班表!$D$2:$D$784,"&lt;="&amp;$E89)</f>
        <v/>
      </c>
      <c r="H89" s="3">
        <f>IF(G89&gt;=17,"是","否")</f>
        <v/>
      </c>
      <c r="I89" s="3">
        <f>SUM(G86:G89)</f>
        <v/>
      </c>
      <c r="J89" s="3">
        <f>IF(I89&gt;=68,"是","否")</f>
        <v/>
      </c>
      <c r="K89" s="3">
        <f>IF(C89&gt;=4,"是","否")</f>
        <v/>
      </c>
      <c r="L89" s="3">
        <f>IF(AND(K89="是",OR(H89="是",J89="是")),"是","否")</f>
        <v/>
      </c>
      <c r="M89" s="3">
        <f>IF(L89="是",MIN(7,DATEDIF(DATEVALUE(SUBSTITUTE($D89,"/","-")),MIN(DATEVALUE(SUBSTITUTE($E89,"/","-")),DATEVALUE(SUBSTITUTE($N89,"/","-"))),"d")+1),0)</f>
        <v/>
      </c>
      <c r="N89" s="3">
        <f>MAXIFS(個人班表!$D$2:$D$784,個人班表!$B$2:$B$784,$A89)</f>
        <v/>
      </c>
      <c r="O89" s="3">
        <f>IF(L89&lt;&gt;"是",0,IF(AND($A89=$A88,$L88="是"),O88+M89,M89))</f>
        <v/>
      </c>
    </row>
    <row r="90">
      <c r="A90" s="3" t="inlineStr">
        <is>
          <t>P0030</t>
        </is>
      </c>
      <c r="B90" s="3" t="inlineStr">
        <is>
          <t>周夏愉</t>
        </is>
      </c>
      <c r="C90" s="3" t="n">
        <v>19</v>
      </c>
      <c r="D90" s="3" t="inlineStr">
        <is>
          <t>2026/07/13</t>
        </is>
      </c>
      <c r="E90" s="3" t="inlineStr">
        <is>
          <t>2026/07/19</t>
        </is>
      </c>
      <c r="F90" s="3" t="inlineStr">
        <is>
          <t>否</t>
        </is>
      </c>
      <c r="G90" s="3">
        <f>SUMIFS(個人班表!$I$2:$I$784,個人班表!$B$2:$B$784,$A90,個人班表!$D$2:$D$784,"&gt;="&amp;$D90,個人班表!$D$2:$D$784,"&lt;="&amp;$E90)</f>
        <v/>
      </c>
      <c r="H90" s="3">
        <f>IF(G90&gt;=17,"是","否")</f>
        <v/>
      </c>
      <c r="I90" s="3">
        <f>SUM(G87:G90)</f>
        <v/>
      </c>
      <c r="J90" s="3">
        <f>IF(I90&gt;=68,"是","否")</f>
        <v/>
      </c>
      <c r="K90" s="3">
        <f>IF(C90&gt;=4,"是","否")</f>
        <v/>
      </c>
      <c r="L90" s="3">
        <f>IF(AND(K90="是",OR(H90="是",J90="是")),"是","否")</f>
        <v/>
      </c>
      <c r="M90" s="3">
        <f>IF(L90="是",MIN(7,DATEDIF(DATEVALUE(SUBSTITUTE($D90,"/","-")),MIN(DATEVALUE(SUBSTITUTE($E90,"/","-")),DATEVALUE(SUBSTITUTE($N90,"/","-"))),"d")+1),0)</f>
        <v/>
      </c>
      <c r="N90" s="3">
        <f>MAXIFS(個人班表!$D$2:$D$784,個人班表!$B$2:$B$784,$A90)</f>
        <v/>
      </c>
      <c r="O90" s="3">
        <f>IF(L90&lt;&gt;"是",0,IF(AND($A90=$A89,$L89="是"),O89+M90,M90))</f>
        <v/>
      </c>
    </row>
    <row r="91">
      <c r="A91" s="3" t="inlineStr">
        <is>
          <t>P0030</t>
        </is>
      </c>
      <c r="B91" s="3" t="inlineStr">
        <is>
          <t>周夏愉</t>
        </is>
      </c>
      <c r="C91" s="3" t="n">
        <v>20</v>
      </c>
      <c r="D91" s="3" t="inlineStr">
        <is>
          <t>2026/07/20</t>
        </is>
      </c>
      <c r="E91" s="3" t="inlineStr">
        <is>
          <t>2026/07/26</t>
        </is>
      </c>
      <c r="F91" s="3" t="inlineStr">
        <is>
          <t>否</t>
        </is>
      </c>
      <c r="G91" s="3">
        <f>SUMIFS(個人班表!$I$2:$I$784,個人班表!$B$2:$B$784,$A91,個人班表!$D$2:$D$784,"&gt;="&amp;$D91,個人班表!$D$2:$D$784,"&lt;="&amp;$E91)</f>
        <v/>
      </c>
      <c r="H91" s="3">
        <f>IF(G91&gt;=17,"是","否")</f>
        <v/>
      </c>
      <c r="I91" s="3">
        <f>SUM(G88:G91)</f>
        <v/>
      </c>
      <c r="J91" s="3">
        <f>IF(I91&gt;=68,"是","否")</f>
        <v/>
      </c>
      <c r="K91" s="3">
        <f>IF(C91&gt;=4,"是","否")</f>
        <v/>
      </c>
      <c r="L91" s="3">
        <f>IF(AND(K91="是",OR(H91="是",J91="是")),"是","否")</f>
        <v/>
      </c>
      <c r="M91" s="3">
        <f>IF(L91="是",MIN(7,DATEDIF(DATEVALUE(SUBSTITUTE($D91,"/","-")),MIN(DATEVALUE(SUBSTITUTE($E91,"/","-")),DATEVALUE(SUBSTITUTE($N91,"/","-"))),"d")+1),0)</f>
        <v/>
      </c>
      <c r="N91" s="3">
        <f>MAXIFS(個人班表!$D$2:$D$784,個人班表!$B$2:$B$784,$A91)</f>
        <v/>
      </c>
      <c r="O91" s="3">
        <f>IF(L91&lt;&gt;"是",0,IF(AND($A91=$A90,$L90="是"),O90+M91,M91))</f>
        <v/>
      </c>
    </row>
    <row r="92">
      <c r="A92" s="3" t="inlineStr">
        <is>
          <t>P0030</t>
        </is>
      </c>
      <c r="B92" s="3" t="inlineStr">
        <is>
          <t>周夏愉</t>
        </is>
      </c>
      <c r="C92" s="3" t="n">
        <v>21</v>
      </c>
      <c r="D92" s="3" t="inlineStr">
        <is>
          <t>2026/07/27</t>
        </is>
      </c>
      <c r="E92" s="3" t="inlineStr">
        <is>
          <t>2026/08/02</t>
        </is>
      </c>
      <c r="F92" s="3" t="inlineStr">
        <is>
          <t>是</t>
        </is>
      </c>
      <c r="G92" s="3">
        <f>SUMIFS(個人班表!$I$2:$I$784,個人班表!$B$2:$B$784,$A92,個人班表!$D$2:$D$784,"&gt;="&amp;$D92,個人班表!$D$2:$D$784,"&lt;="&amp;$E92)</f>
        <v/>
      </c>
      <c r="H92" s="3">
        <f>IF(G92&gt;=17,"是","否")</f>
        <v/>
      </c>
      <c r="I92" s="3">
        <f>SUM(G89:G92)</f>
        <v/>
      </c>
      <c r="J92" s="3">
        <f>IF(I92&gt;=68,"是","否")</f>
        <v/>
      </c>
      <c r="K92" s="3">
        <f>IF(C92&gt;=4,"是","否")</f>
        <v/>
      </c>
      <c r="L92" s="3">
        <f>IF(AND(K92="是",OR(H92="是",J92="是")),"是","否")</f>
        <v/>
      </c>
      <c r="M92" s="3">
        <f>IF(L92="是",MIN(7,DATEDIF(DATEVALUE(SUBSTITUTE($D92,"/","-")),MIN(DATEVALUE(SUBSTITUTE($E92,"/","-")),DATEVALUE(SUBSTITUTE($N92,"/","-"))),"d")+1),0)</f>
        <v/>
      </c>
      <c r="N92" s="3">
        <f>MAXIFS(個人班表!$D$2:$D$784,個人班表!$B$2:$B$784,$A92)</f>
        <v/>
      </c>
      <c r="O92" s="3">
        <f>IF(L92&lt;&gt;"是",0,IF(AND($A92=$A91,$L91="是"),O91+M92,M92))</f>
        <v/>
      </c>
    </row>
    <row r="93">
      <c r="A93" s="3" t="inlineStr">
        <is>
          <t>P0031</t>
        </is>
      </c>
      <c r="B93" s="3" t="inlineStr">
        <is>
          <t>梁綽恩</t>
        </is>
      </c>
      <c r="C93" s="3" t="n">
        <v>1</v>
      </c>
      <c r="D93" s="3" t="inlineStr">
        <is>
          <t>2026/03/01</t>
        </is>
      </c>
      <c r="E93" s="3" t="inlineStr">
        <is>
          <t>2026/03/07</t>
        </is>
      </c>
      <c r="F93" s="3" t="inlineStr">
        <is>
          <t>否</t>
        </is>
      </c>
      <c r="G93" s="3">
        <f>SUMIFS(個人班表!$I$2:$I$784,個人班表!$B$2:$B$784,$A93,個人班表!$D$2:$D$784,"&gt;="&amp;$D93,個人班表!$D$2:$D$784,"&lt;="&amp;$E93)</f>
        <v/>
      </c>
      <c r="H93" s="3">
        <f>IF(G93&gt;=17,"是","否")</f>
        <v/>
      </c>
      <c r="I93" s="3">
        <f>SUM(G93:G93)</f>
        <v/>
      </c>
      <c r="J93" s="3">
        <f>IF(I93&gt;=68,"是","否")</f>
        <v/>
      </c>
      <c r="K93" s="3">
        <f>IF(C93&gt;=4,"是","否")</f>
        <v/>
      </c>
      <c r="L93" s="3">
        <f>IF(AND(K93="是",OR(H93="是",J93="是")),"是","否")</f>
        <v/>
      </c>
      <c r="M93" s="3">
        <f>IF(L93="是",MIN(7,DATEDIF(DATEVALUE(SUBSTITUTE($D93,"/","-")),MIN(DATEVALUE(SUBSTITUTE($E93,"/","-")),DATEVALUE(SUBSTITUTE($N93,"/","-"))),"d")+1),0)</f>
        <v/>
      </c>
      <c r="N93" s="3">
        <f>MAXIFS(個人班表!$D$2:$D$784,個人班表!$B$2:$B$784,$A93)</f>
        <v/>
      </c>
      <c r="O93" s="3">
        <f>IF(L93&lt;&gt;"是",0,M93)</f>
        <v/>
      </c>
    </row>
    <row r="94">
      <c r="A94" s="3" t="inlineStr">
        <is>
          <t>P0031</t>
        </is>
      </c>
      <c r="B94" s="3" t="inlineStr">
        <is>
          <t>梁綽恩</t>
        </is>
      </c>
      <c r="C94" s="3" t="n">
        <v>2</v>
      </c>
      <c r="D94" s="3" t="inlineStr">
        <is>
          <t>2026/03/08</t>
        </is>
      </c>
      <c r="E94" s="3" t="inlineStr">
        <is>
          <t>2026/03/14</t>
        </is>
      </c>
      <c r="F94" s="3" t="inlineStr">
        <is>
          <t>否</t>
        </is>
      </c>
      <c r="G94" s="3">
        <f>SUMIFS(個人班表!$I$2:$I$784,個人班表!$B$2:$B$784,$A94,個人班表!$D$2:$D$784,"&gt;="&amp;$D94,個人班表!$D$2:$D$784,"&lt;="&amp;$E94)</f>
        <v/>
      </c>
      <c r="H94" s="3">
        <f>IF(G94&gt;=17,"是","否")</f>
        <v/>
      </c>
      <c r="I94" s="3">
        <f>SUM(G93:G94)</f>
        <v/>
      </c>
      <c r="J94" s="3">
        <f>IF(I94&gt;=68,"是","否")</f>
        <v/>
      </c>
      <c r="K94" s="3">
        <f>IF(C94&gt;=4,"是","否")</f>
        <v/>
      </c>
      <c r="L94" s="3">
        <f>IF(AND(K94="是",OR(H94="是",J94="是")),"是","否")</f>
        <v/>
      </c>
      <c r="M94" s="3">
        <f>IF(L94="是",MIN(7,DATEDIF(DATEVALUE(SUBSTITUTE($D94,"/","-")),MIN(DATEVALUE(SUBSTITUTE($E94,"/","-")),DATEVALUE(SUBSTITUTE($N94,"/","-"))),"d")+1),0)</f>
        <v/>
      </c>
      <c r="N94" s="3">
        <f>MAXIFS(個人班表!$D$2:$D$784,個人班表!$B$2:$B$784,$A94)</f>
        <v/>
      </c>
      <c r="O94" s="3">
        <f>IF(L94&lt;&gt;"是",0,IF(AND($A94=$A93,$L93="是"),O93+M94,M94))</f>
        <v/>
      </c>
    </row>
    <row r="95">
      <c r="A95" s="3" t="inlineStr">
        <is>
          <t>P0031</t>
        </is>
      </c>
      <c r="B95" s="3" t="inlineStr">
        <is>
          <t>梁綽恩</t>
        </is>
      </c>
      <c r="C95" s="3" t="n">
        <v>3</v>
      </c>
      <c r="D95" s="3" t="inlineStr">
        <is>
          <t>2026/03/15</t>
        </is>
      </c>
      <c r="E95" s="3" t="inlineStr">
        <is>
          <t>2026/03/21</t>
        </is>
      </c>
      <c r="F95" s="3" t="inlineStr">
        <is>
          <t>否</t>
        </is>
      </c>
      <c r="G95" s="3">
        <f>SUMIFS(個人班表!$I$2:$I$784,個人班表!$B$2:$B$784,$A95,個人班表!$D$2:$D$784,"&gt;="&amp;$D95,個人班表!$D$2:$D$784,"&lt;="&amp;$E95)</f>
        <v/>
      </c>
      <c r="H95" s="3">
        <f>IF(G95&gt;=17,"是","否")</f>
        <v/>
      </c>
      <c r="I95" s="3">
        <f>SUM(G93:G95)</f>
        <v/>
      </c>
      <c r="J95" s="3">
        <f>IF(I95&gt;=68,"是","否")</f>
        <v/>
      </c>
      <c r="K95" s="3">
        <f>IF(C95&gt;=4,"是","否")</f>
        <v/>
      </c>
      <c r="L95" s="3">
        <f>IF(AND(K95="是",OR(H95="是",J95="是")),"是","否")</f>
        <v/>
      </c>
      <c r="M95" s="3">
        <f>IF(L95="是",MIN(7,DATEDIF(DATEVALUE(SUBSTITUTE($D95,"/","-")),MIN(DATEVALUE(SUBSTITUTE($E95,"/","-")),DATEVALUE(SUBSTITUTE($N95,"/","-"))),"d")+1),0)</f>
        <v/>
      </c>
      <c r="N95" s="3">
        <f>MAXIFS(個人班表!$D$2:$D$784,個人班表!$B$2:$B$784,$A95)</f>
        <v/>
      </c>
      <c r="O95" s="3">
        <f>IF(L95&lt;&gt;"是",0,IF(AND($A95=$A94,$L94="是"),O94+M95,M95))</f>
        <v/>
      </c>
    </row>
    <row r="96">
      <c r="A96" s="3" t="inlineStr">
        <is>
          <t>P0031</t>
        </is>
      </c>
      <c r="B96" s="3" t="inlineStr">
        <is>
          <t>梁綽恩</t>
        </is>
      </c>
      <c r="C96" s="3" t="n">
        <v>4</v>
      </c>
      <c r="D96" s="3" t="inlineStr">
        <is>
          <t>2026/03/22</t>
        </is>
      </c>
      <c r="E96" s="3" t="inlineStr">
        <is>
          <t>2026/03/28</t>
        </is>
      </c>
      <c r="F96" s="3" t="inlineStr">
        <is>
          <t>否</t>
        </is>
      </c>
      <c r="G96" s="3">
        <f>SUMIFS(個人班表!$I$2:$I$784,個人班表!$B$2:$B$784,$A96,個人班表!$D$2:$D$784,"&gt;="&amp;$D96,個人班表!$D$2:$D$784,"&lt;="&amp;$E96)</f>
        <v/>
      </c>
      <c r="H96" s="3">
        <f>IF(G96&gt;=17,"是","否")</f>
        <v/>
      </c>
      <c r="I96" s="3">
        <f>SUM(G93:G96)</f>
        <v/>
      </c>
      <c r="J96" s="3">
        <f>IF(I96&gt;=68,"是","否")</f>
        <v/>
      </c>
      <c r="K96" s="3">
        <f>IF(C96&gt;=4,"是","否")</f>
        <v/>
      </c>
      <c r="L96" s="3">
        <f>IF(AND(K96="是",OR(H96="是",J96="是")),"是","否")</f>
        <v/>
      </c>
      <c r="M96" s="3">
        <f>IF(L96="是",MIN(7,DATEDIF(DATEVALUE(SUBSTITUTE($D96,"/","-")),MIN(DATEVALUE(SUBSTITUTE($E96,"/","-")),DATEVALUE(SUBSTITUTE($N96,"/","-"))),"d")+1),0)</f>
        <v/>
      </c>
      <c r="N96" s="3">
        <f>MAXIFS(個人班表!$D$2:$D$784,個人班表!$B$2:$B$784,$A96)</f>
        <v/>
      </c>
      <c r="O96" s="3">
        <f>IF(L96&lt;&gt;"是",0,IF(AND($A96=$A95,$L95="是"),O95+M96,M96))</f>
        <v/>
      </c>
    </row>
    <row r="97">
      <c r="A97" s="3" t="inlineStr">
        <is>
          <t>P0031</t>
        </is>
      </c>
      <c r="B97" s="3" t="inlineStr">
        <is>
          <t>梁綽恩</t>
        </is>
      </c>
      <c r="C97" s="3" t="n">
        <v>5</v>
      </c>
      <c r="D97" s="3" t="inlineStr">
        <is>
          <t>2026/03/29</t>
        </is>
      </c>
      <c r="E97" s="3" t="inlineStr">
        <is>
          <t>2026/04/04</t>
        </is>
      </c>
      <c r="F97" s="3" t="inlineStr">
        <is>
          <t>否</t>
        </is>
      </c>
      <c r="G97" s="3">
        <f>SUMIFS(個人班表!$I$2:$I$784,個人班表!$B$2:$B$784,$A97,個人班表!$D$2:$D$784,"&gt;="&amp;$D97,個人班表!$D$2:$D$784,"&lt;="&amp;$E97)</f>
        <v/>
      </c>
      <c r="H97" s="3">
        <f>IF(G97&gt;=17,"是","否")</f>
        <v/>
      </c>
      <c r="I97" s="3">
        <f>SUM(G94:G97)</f>
        <v/>
      </c>
      <c r="J97" s="3">
        <f>IF(I97&gt;=68,"是","否")</f>
        <v/>
      </c>
      <c r="K97" s="3">
        <f>IF(C97&gt;=4,"是","否")</f>
        <v/>
      </c>
      <c r="L97" s="3">
        <f>IF(AND(K97="是",OR(H97="是",J97="是")),"是","否")</f>
        <v/>
      </c>
      <c r="M97" s="3">
        <f>IF(L97="是",MIN(7,DATEDIF(DATEVALUE(SUBSTITUTE($D97,"/","-")),MIN(DATEVALUE(SUBSTITUTE($E97,"/","-")),DATEVALUE(SUBSTITUTE($N97,"/","-"))),"d")+1),0)</f>
        <v/>
      </c>
      <c r="N97" s="3">
        <f>MAXIFS(個人班表!$D$2:$D$784,個人班表!$B$2:$B$784,$A97)</f>
        <v/>
      </c>
      <c r="O97" s="3">
        <f>IF(L97&lt;&gt;"是",0,IF(AND($A97=$A96,$L96="是"),O96+M97,M97))</f>
        <v/>
      </c>
    </row>
    <row r="98">
      <c r="A98" s="3" t="inlineStr">
        <is>
          <t>P0031</t>
        </is>
      </c>
      <c r="B98" s="3" t="inlineStr">
        <is>
          <t>梁綽恩</t>
        </is>
      </c>
      <c r="C98" s="3" t="n">
        <v>6</v>
      </c>
      <c r="D98" s="3" t="inlineStr">
        <is>
          <t>2026/04/05</t>
        </is>
      </c>
      <c r="E98" s="3" t="inlineStr">
        <is>
          <t>2026/04/11</t>
        </is>
      </c>
      <c r="F98" s="3" t="inlineStr">
        <is>
          <t>否</t>
        </is>
      </c>
      <c r="G98" s="3">
        <f>SUMIFS(個人班表!$I$2:$I$784,個人班表!$B$2:$B$784,$A98,個人班表!$D$2:$D$784,"&gt;="&amp;$D98,個人班表!$D$2:$D$784,"&lt;="&amp;$E98)</f>
        <v/>
      </c>
      <c r="H98" s="3">
        <f>IF(G98&gt;=17,"是","否")</f>
        <v/>
      </c>
      <c r="I98" s="3">
        <f>SUM(G95:G98)</f>
        <v/>
      </c>
      <c r="J98" s="3">
        <f>IF(I98&gt;=68,"是","否")</f>
        <v/>
      </c>
      <c r="K98" s="3">
        <f>IF(C98&gt;=4,"是","否")</f>
        <v/>
      </c>
      <c r="L98" s="3">
        <f>IF(AND(K98="是",OR(H98="是",J98="是")),"是","否")</f>
        <v/>
      </c>
      <c r="M98" s="3">
        <f>IF(L98="是",MIN(7,DATEDIF(DATEVALUE(SUBSTITUTE($D98,"/","-")),MIN(DATEVALUE(SUBSTITUTE($E98,"/","-")),DATEVALUE(SUBSTITUTE($N98,"/","-"))),"d")+1),0)</f>
        <v/>
      </c>
      <c r="N98" s="3">
        <f>MAXIFS(個人班表!$D$2:$D$784,個人班表!$B$2:$B$784,$A98)</f>
        <v/>
      </c>
      <c r="O98" s="3">
        <f>IF(L98&lt;&gt;"是",0,IF(AND($A98=$A97,$L97="是"),O97+M98,M98))</f>
        <v/>
      </c>
    </row>
    <row r="99">
      <c r="A99" s="3" t="inlineStr">
        <is>
          <t>P0031</t>
        </is>
      </c>
      <c r="B99" s="3" t="inlineStr">
        <is>
          <t>梁綽恩</t>
        </is>
      </c>
      <c r="C99" s="3" t="n">
        <v>7</v>
      </c>
      <c r="D99" s="3" t="inlineStr">
        <is>
          <t>2026/04/12</t>
        </is>
      </c>
      <c r="E99" s="3" t="inlineStr">
        <is>
          <t>2026/04/18</t>
        </is>
      </c>
      <c r="F99" s="3" t="inlineStr">
        <is>
          <t>否</t>
        </is>
      </c>
      <c r="G99" s="3">
        <f>SUMIFS(個人班表!$I$2:$I$784,個人班表!$B$2:$B$784,$A99,個人班表!$D$2:$D$784,"&gt;="&amp;$D99,個人班表!$D$2:$D$784,"&lt;="&amp;$E99)</f>
        <v/>
      </c>
      <c r="H99" s="3">
        <f>IF(G99&gt;=17,"是","否")</f>
        <v/>
      </c>
      <c r="I99" s="3">
        <f>SUM(G96:G99)</f>
        <v/>
      </c>
      <c r="J99" s="3">
        <f>IF(I99&gt;=68,"是","否")</f>
        <v/>
      </c>
      <c r="K99" s="3">
        <f>IF(C99&gt;=4,"是","否")</f>
        <v/>
      </c>
      <c r="L99" s="3">
        <f>IF(AND(K99="是",OR(H99="是",J99="是")),"是","否")</f>
        <v/>
      </c>
      <c r="M99" s="3">
        <f>IF(L99="是",MIN(7,DATEDIF(DATEVALUE(SUBSTITUTE($D99,"/","-")),MIN(DATEVALUE(SUBSTITUTE($E99,"/","-")),DATEVALUE(SUBSTITUTE($N99,"/","-"))),"d")+1),0)</f>
        <v/>
      </c>
      <c r="N99" s="3">
        <f>MAXIFS(個人班表!$D$2:$D$784,個人班表!$B$2:$B$784,$A99)</f>
        <v/>
      </c>
      <c r="O99" s="3">
        <f>IF(L99&lt;&gt;"是",0,IF(AND($A99=$A98,$L98="是"),O98+M99,M99))</f>
        <v/>
      </c>
    </row>
    <row r="100">
      <c r="A100" s="3" t="inlineStr">
        <is>
          <t>P0031</t>
        </is>
      </c>
      <c r="B100" s="3" t="inlineStr">
        <is>
          <t>梁綽恩</t>
        </is>
      </c>
      <c r="C100" s="3" t="n">
        <v>8</v>
      </c>
      <c r="D100" s="3" t="inlineStr">
        <is>
          <t>2026/04/19</t>
        </is>
      </c>
      <c r="E100" s="3" t="inlineStr">
        <is>
          <t>2026/04/25</t>
        </is>
      </c>
      <c r="F100" s="3" t="inlineStr">
        <is>
          <t>否</t>
        </is>
      </c>
      <c r="G100" s="3">
        <f>SUMIFS(個人班表!$I$2:$I$784,個人班表!$B$2:$B$784,$A100,個人班表!$D$2:$D$784,"&gt;="&amp;$D100,個人班表!$D$2:$D$784,"&lt;="&amp;$E100)</f>
        <v/>
      </c>
      <c r="H100" s="3">
        <f>IF(G100&gt;=17,"是","否")</f>
        <v/>
      </c>
      <c r="I100" s="3">
        <f>SUM(G97:G100)</f>
        <v/>
      </c>
      <c r="J100" s="3">
        <f>IF(I100&gt;=68,"是","否")</f>
        <v/>
      </c>
      <c r="K100" s="3">
        <f>IF(C100&gt;=4,"是","否")</f>
        <v/>
      </c>
      <c r="L100" s="3">
        <f>IF(AND(K100="是",OR(H100="是",J100="是")),"是","否")</f>
        <v/>
      </c>
      <c r="M100" s="3">
        <f>IF(L100="是",MIN(7,DATEDIF(DATEVALUE(SUBSTITUTE($D100,"/","-")),MIN(DATEVALUE(SUBSTITUTE($E100,"/","-")),DATEVALUE(SUBSTITUTE($N100,"/","-"))),"d")+1),0)</f>
        <v/>
      </c>
      <c r="N100" s="3">
        <f>MAXIFS(個人班表!$D$2:$D$784,個人班表!$B$2:$B$784,$A100)</f>
        <v/>
      </c>
      <c r="O100" s="3">
        <f>IF(L100&lt;&gt;"是",0,IF(AND($A100=$A99,$L99="是"),O99+M100,M100))</f>
        <v/>
      </c>
    </row>
    <row r="101">
      <c r="A101" s="3" t="inlineStr">
        <is>
          <t>P0031</t>
        </is>
      </c>
      <c r="B101" s="3" t="inlineStr">
        <is>
          <t>梁綽恩</t>
        </is>
      </c>
      <c r="C101" s="3" t="n">
        <v>9</v>
      </c>
      <c r="D101" s="3" t="inlineStr">
        <is>
          <t>2026/04/26</t>
        </is>
      </c>
      <c r="E101" s="3" t="inlineStr">
        <is>
          <t>2026/05/02</t>
        </is>
      </c>
      <c r="F101" s="3" t="inlineStr">
        <is>
          <t>否</t>
        </is>
      </c>
      <c r="G101" s="3">
        <f>SUMIFS(個人班表!$I$2:$I$784,個人班表!$B$2:$B$784,$A101,個人班表!$D$2:$D$784,"&gt;="&amp;$D101,個人班表!$D$2:$D$784,"&lt;="&amp;$E101)</f>
        <v/>
      </c>
      <c r="H101" s="3">
        <f>IF(G101&gt;=17,"是","否")</f>
        <v/>
      </c>
      <c r="I101" s="3">
        <f>SUM(G98:G101)</f>
        <v/>
      </c>
      <c r="J101" s="3">
        <f>IF(I101&gt;=68,"是","否")</f>
        <v/>
      </c>
      <c r="K101" s="3">
        <f>IF(C101&gt;=4,"是","否")</f>
        <v/>
      </c>
      <c r="L101" s="3">
        <f>IF(AND(K101="是",OR(H101="是",J101="是")),"是","否")</f>
        <v/>
      </c>
      <c r="M101" s="3">
        <f>IF(L101="是",MIN(7,DATEDIF(DATEVALUE(SUBSTITUTE($D101,"/","-")),MIN(DATEVALUE(SUBSTITUTE($E101,"/","-")),DATEVALUE(SUBSTITUTE($N101,"/","-"))),"d")+1),0)</f>
        <v/>
      </c>
      <c r="N101" s="3">
        <f>MAXIFS(個人班表!$D$2:$D$784,個人班表!$B$2:$B$784,$A101)</f>
        <v/>
      </c>
      <c r="O101" s="3">
        <f>IF(L101&lt;&gt;"是",0,IF(AND($A101=$A100,$L100="是"),O100+M101,M101))</f>
        <v/>
      </c>
    </row>
    <row r="102">
      <c r="A102" s="3" t="inlineStr">
        <is>
          <t>P0031</t>
        </is>
      </c>
      <c r="B102" s="3" t="inlineStr">
        <is>
          <t>梁綽恩</t>
        </is>
      </c>
      <c r="C102" s="3" t="n">
        <v>10</v>
      </c>
      <c r="D102" s="3" t="inlineStr">
        <is>
          <t>2026/05/03</t>
        </is>
      </c>
      <c r="E102" s="3" t="inlineStr">
        <is>
          <t>2026/05/09</t>
        </is>
      </c>
      <c r="F102" s="3" t="inlineStr">
        <is>
          <t>否</t>
        </is>
      </c>
      <c r="G102" s="3">
        <f>SUMIFS(個人班表!$I$2:$I$784,個人班表!$B$2:$B$784,$A102,個人班表!$D$2:$D$784,"&gt;="&amp;$D102,個人班表!$D$2:$D$784,"&lt;="&amp;$E102)</f>
        <v/>
      </c>
      <c r="H102" s="3">
        <f>IF(G102&gt;=17,"是","否")</f>
        <v/>
      </c>
      <c r="I102" s="3">
        <f>SUM(G99:G102)</f>
        <v/>
      </c>
      <c r="J102" s="3">
        <f>IF(I102&gt;=68,"是","否")</f>
        <v/>
      </c>
      <c r="K102" s="3">
        <f>IF(C102&gt;=4,"是","否")</f>
        <v/>
      </c>
      <c r="L102" s="3">
        <f>IF(AND(K102="是",OR(H102="是",J102="是")),"是","否")</f>
        <v/>
      </c>
      <c r="M102" s="3">
        <f>IF(L102="是",MIN(7,DATEDIF(DATEVALUE(SUBSTITUTE($D102,"/","-")),MIN(DATEVALUE(SUBSTITUTE($E102,"/","-")),DATEVALUE(SUBSTITUTE($N102,"/","-"))),"d")+1),0)</f>
        <v/>
      </c>
      <c r="N102" s="3">
        <f>MAXIFS(個人班表!$D$2:$D$784,個人班表!$B$2:$B$784,$A102)</f>
        <v/>
      </c>
      <c r="O102" s="3">
        <f>IF(L102&lt;&gt;"是",0,IF(AND($A102=$A101,$L101="是"),O101+M102,M102))</f>
        <v/>
      </c>
    </row>
    <row r="103">
      <c r="A103" s="3" t="inlineStr">
        <is>
          <t>P0031</t>
        </is>
      </c>
      <c r="B103" s="3" t="inlineStr">
        <is>
          <t>梁綽恩</t>
        </is>
      </c>
      <c r="C103" s="3" t="n">
        <v>11</v>
      </c>
      <c r="D103" s="3" t="inlineStr">
        <is>
          <t>2026/05/10</t>
        </is>
      </c>
      <c r="E103" s="3" t="inlineStr">
        <is>
          <t>2026/05/16</t>
        </is>
      </c>
      <c r="F103" s="3" t="inlineStr">
        <is>
          <t>否</t>
        </is>
      </c>
      <c r="G103" s="3">
        <f>SUMIFS(個人班表!$I$2:$I$784,個人班表!$B$2:$B$784,$A103,個人班表!$D$2:$D$784,"&gt;="&amp;$D103,個人班表!$D$2:$D$784,"&lt;="&amp;$E103)</f>
        <v/>
      </c>
      <c r="H103" s="3">
        <f>IF(G103&gt;=17,"是","否")</f>
        <v/>
      </c>
      <c r="I103" s="3">
        <f>SUM(G100:G103)</f>
        <v/>
      </c>
      <c r="J103" s="3">
        <f>IF(I103&gt;=68,"是","否")</f>
        <v/>
      </c>
      <c r="K103" s="3">
        <f>IF(C103&gt;=4,"是","否")</f>
        <v/>
      </c>
      <c r="L103" s="3">
        <f>IF(AND(K103="是",OR(H103="是",J103="是")),"是","否")</f>
        <v/>
      </c>
      <c r="M103" s="3">
        <f>IF(L103="是",MIN(7,DATEDIF(DATEVALUE(SUBSTITUTE($D103,"/","-")),MIN(DATEVALUE(SUBSTITUTE($E103,"/","-")),DATEVALUE(SUBSTITUTE($N103,"/","-"))),"d")+1),0)</f>
        <v/>
      </c>
      <c r="N103" s="3">
        <f>MAXIFS(個人班表!$D$2:$D$784,個人班表!$B$2:$B$784,$A103)</f>
        <v/>
      </c>
      <c r="O103" s="3">
        <f>IF(L103&lt;&gt;"是",0,IF(AND($A103=$A102,$L102="是"),O102+M103,M103))</f>
        <v/>
      </c>
    </row>
    <row r="104">
      <c r="A104" s="3" t="inlineStr">
        <is>
          <t>P0031</t>
        </is>
      </c>
      <c r="B104" s="3" t="inlineStr">
        <is>
          <t>梁綽恩</t>
        </is>
      </c>
      <c r="C104" s="3" t="n">
        <v>12</v>
      </c>
      <c r="D104" s="3" t="inlineStr">
        <is>
          <t>2026/05/17</t>
        </is>
      </c>
      <c r="E104" s="3" t="inlineStr">
        <is>
          <t>2026/05/23</t>
        </is>
      </c>
      <c r="F104" s="3" t="inlineStr">
        <is>
          <t>否</t>
        </is>
      </c>
      <c r="G104" s="3">
        <f>SUMIFS(個人班表!$I$2:$I$784,個人班表!$B$2:$B$784,$A104,個人班表!$D$2:$D$784,"&gt;="&amp;$D104,個人班表!$D$2:$D$784,"&lt;="&amp;$E104)</f>
        <v/>
      </c>
      <c r="H104" s="3">
        <f>IF(G104&gt;=17,"是","否")</f>
        <v/>
      </c>
      <c r="I104" s="3">
        <f>SUM(G101:G104)</f>
        <v/>
      </c>
      <c r="J104" s="3">
        <f>IF(I104&gt;=68,"是","否")</f>
        <v/>
      </c>
      <c r="K104" s="3">
        <f>IF(C104&gt;=4,"是","否")</f>
        <v/>
      </c>
      <c r="L104" s="3">
        <f>IF(AND(K104="是",OR(H104="是",J104="是")),"是","否")</f>
        <v/>
      </c>
      <c r="M104" s="3">
        <f>IF(L104="是",MIN(7,DATEDIF(DATEVALUE(SUBSTITUTE($D104,"/","-")),MIN(DATEVALUE(SUBSTITUTE($E104,"/","-")),DATEVALUE(SUBSTITUTE($N104,"/","-"))),"d")+1),0)</f>
        <v/>
      </c>
      <c r="N104" s="3">
        <f>MAXIFS(個人班表!$D$2:$D$784,個人班表!$B$2:$B$784,$A104)</f>
        <v/>
      </c>
      <c r="O104" s="3">
        <f>IF(L104&lt;&gt;"是",0,IF(AND($A104=$A103,$L103="是"),O103+M104,M104))</f>
        <v/>
      </c>
    </row>
    <row r="105">
      <c r="A105" s="3" t="inlineStr">
        <is>
          <t>P0031</t>
        </is>
      </c>
      <c r="B105" s="3" t="inlineStr">
        <is>
          <t>梁綽恩</t>
        </is>
      </c>
      <c r="C105" s="3" t="n">
        <v>13</v>
      </c>
      <c r="D105" s="3" t="inlineStr">
        <is>
          <t>2026/05/24</t>
        </is>
      </c>
      <c r="E105" s="3" t="inlineStr">
        <is>
          <t>2026/05/30</t>
        </is>
      </c>
      <c r="F105" s="3" t="inlineStr">
        <is>
          <t>否</t>
        </is>
      </c>
      <c r="G105" s="3">
        <f>SUMIFS(個人班表!$I$2:$I$784,個人班表!$B$2:$B$784,$A105,個人班表!$D$2:$D$784,"&gt;="&amp;$D105,個人班表!$D$2:$D$784,"&lt;="&amp;$E105)</f>
        <v/>
      </c>
      <c r="H105" s="3">
        <f>IF(G105&gt;=17,"是","否")</f>
        <v/>
      </c>
      <c r="I105" s="3">
        <f>SUM(G102:G105)</f>
        <v/>
      </c>
      <c r="J105" s="3">
        <f>IF(I105&gt;=68,"是","否")</f>
        <v/>
      </c>
      <c r="K105" s="3">
        <f>IF(C105&gt;=4,"是","否")</f>
        <v/>
      </c>
      <c r="L105" s="3">
        <f>IF(AND(K105="是",OR(H105="是",J105="是")),"是","否")</f>
        <v/>
      </c>
      <c r="M105" s="3">
        <f>IF(L105="是",MIN(7,DATEDIF(DATEVALUE(SUBSTITUTE($D105,"/","-")),MIN(DATEVALUE(SUBSTITUTE($E105,"/","-")),DATEVALUE(SUBSTITUTE($N105,"/","-"))),"d")+1),0)</f>
        <v/>
      </c>
      <c r="N105" s="3">
        <f>MAXIFS(個人班表!$D$2:$D$784,個人班表!$B$2:$B$784,$A105)</f>
        <v/>
      </c>
      <c r="O105" s="3">
        <f>IF(L105&lt;&gt;"是",0,IF(AND($A105=$A104,$L104="是"),O104+M105,M105))</f>
        <v/>
      </c>
    </row>
    <row r="106">
      <c r="A106" s="3" t="inlineStr">
        <is>
          <t>P0031</t>
        </is>
      </c>
      <c r="B106" s="3" t="inlineStr">
        <is>
          <t>梁綽恩</t>
        </is>
      </c>
      <c r="C106" s="3" t="n">
        <v>14</v>
      </c>
      <c r="D106" s="3" t="inlineStr">
        <is>
          <t>2026/05/31</t>
        </is>
      </c>
      <c r="E106" s="3" t="inlineStr">
        <is>
          <t>2026/06/06</t>
        </is>
      </c>
      <c r="F106" s="3" t="inlineStr">
        <is>
          <t>否</t>
        </is>
      </c>
      <c r="G106" s="3">
        <f>SUMIFS(個人班表!$I$2:$I$784,個人班表!$B$2:$B$784,$A106,個人班表!$D$2:$D$784,"&gt;="&amp;$D106,個人班表!$D$2:$D$784,"&lt;="&amp;$E106)</f>
        <v/>
      </c>
      <c r="H106" s="3">
        <f>IF(G106&gt;=17,"是","否")</f>
        <v/>
      </c>
      <c r="I106" s="3">
        <f>SUM(G103:G106)</f>
        <v/>
      </c>
      <c r="J106" s="3">
        <f>IF(I106&gt;=68,"是","否")</f>
        <v/>
      </c>
      <c r="K106" s="3">
        <f>IF(C106&gt;=4,"是","否")</f>
        <v/>
      </c>
      <c r="L106" s="3">
        <f>IF(AND(K106="是",OR(H106="是",J106="是")),"是","否")</f>
        <v/>
      </c>
      <c r="M106" s="3">
        <f>IF(L106="是",MIN(7,DATEDIF(DATEVALUE(SUBSTITUTE($D106,"/","-")),MIN(DATEVALUE(SUBSTITUTE($E106,"/","-")),DATEVALUE(SUBSTITUTE($N106,"/","-"))),"d")+1),0)</f>
        <v/>
      </c>
      <c r="N106" s="3">
        <f>MAXIFS(個人班表!$D$2:$D$784,個人班表!$B$2:$B$784,$A106)</f>
        <v/>
      </c>
      <c r="O106" s="3">
        <f>IF(L106&lt;&gt;"是",0,IF(AND($A106=$A105,$L105="是"),O105+M106,M106))</f>
        <v/>
      </c>
    </row>
    <row r="107">
      <c r="A107" s="3" t="inlineStr">
        <is>
          <t>P0031</t>
        </is>
      </c>
      <c r="B107" s="3" t="inlineStr">
        <is>
          <t>梁綽恩</t>
        </is>
      </c>
      <c r="C107" s="3" t="n">
        <v>15</v>
      </c>
      <c r="D107" s="3" t="inlineStr">
        <is>
          <t>2026/06/07</t>
        </is>
      </c>
      <c r="E107" s="3" t="inlineStr">
        <is>
          <t>2026/06/13</t>
        </is>
      </c>
      <c r="F107" s="3" t="inlineStr">
        <is>
          <t>否</t>
        </is>
      </c>
      <c r="G107" s="3">
        <f>SUMIFS(個人班表!$I$2:$I$784,個人班表!$B$2:$B$784,$A107,個人班表!$D$2:$D$784,"&gt;="&amp;$D107,個人班表!$D$2:$D$784,"&lt;="&amp;$E107)</f>
        <v/>
      </c>
      <c r="H107" s="3">
        <f>IF(G107&gt;=17,"是","否")</f>
        <v/>
      </c>
      <c r="I107" s="3">
        <f>SUM(G104:G107)</f>
        <v/>
      </c>
      <c r="J107" s="3">
        <f>IF(I107&gt;=68,"是","否")</f>
        <v/>
      </c>
      <c r="K107" s="3">
        <f>IF(C107&gt;=4,"是","否")</f>
        <v/>
      </c>
      <c r="L107" s="3">
        <f>IF(AND(K107="是",OR(H107="是",J107="是")),"是","否")</f>
        <v/>
      </c>
      <c r="M107" s="3">
        <f>IF(L107="是",MIN(7,DATEDIF(DATEVALUE(SUBSTITUTE($D107,"/","-")),MIN(DATEVALUE(SUBSTITUTE($E107,"/","-")),DATEVALUE(SUBSTITUTE($N107,"/","-"))),"d")+1),0)</f>
        <v/>
      </c>
      <c r="N107" s="3">
        <f>MAXIFS(個人班表!$D$2:$D$784,個人班表!$B$2:$B$784,$A107)</f>
        <v/>
      </c>
      <c r="O107" s="3">
        <f>IF(L107&lt;&gt;"是",0,IF(AND($A107=$A106,$L106="是"),O106+M107,M107))</f>
        <v/>
      </c>
    </row>
    <row r="108">
      <c r="A108" s="3" t="inlineStr">
        <is>
          <t>P0031</t>
        </is>
      </c>
      <c r="B108" s="3" t="inlineStr">
        <is>
          <t>梁綽恩</t>
        </is>
      </c>
      <c r="C108" s="3" t="n">
        <v>16</v>
      </c>
      <c r="D108" s="3" t="inlineStr">
        <is>
          <t>2026/06/14</t>
        </is>
      </c>
      <c r="E108" s="3" t="inlineStr">
        <is>
          <t>2026/06/20</t>
        </is>
      </c>
      <c r="F108" s="3" t="inlineStr">
        <is>
          <t>否</t>
        </is>
      </c>
      <c r="G108" s="3">
        <f>SUMIFS(個人班表!$I$2:$I$784,個人班表!$B$2:$B$784,$A108,個人班表!$D$2:$D$784,"&gt;="&amp;$D108,個人班表!$D$2:$D$784,"&lt;="&amp;$E108)</f>
        <v/>
      </c>
      <c r="H108" s="3">
        <f>IF(G108&gt;=17,"是","否")</f>
        <v/>
      </c>
      <c r="I108" s="3">
        <f>SUM(G105:G108)</f>
        <v/>
      </c>
      <c r="J108" s="3">
        <f>IF(I108&gt;=68,"是","否")</f>
        <v/>
      </c>
      <c r="K108" s="3">
        <f>IF(C108&gt;=4,"是","否")</f>
        <v/>
      </c>
      <c r="L108" s="3">
        <f>IF(AND(K108="是",OR(H108="是",J108="是")),"是","否")</f>
        <v/>
      </c>
      <c r="M108" s="3">
        <f>IF(L108="是",MIN(7,DATEDIF(DATEVALUE(SUBSTITUTE($D108,"/","-")),MIN(DATEVALUE(SUBSTITUTE($E108,"/","-")),DATEVALUE(SUBSTITUTE($N108,"/","-"))),"d")+1),0)</f>
        <v/>
      </c>
      <c r="N108" s="3">
        <f>MAXIFS(個人班表!$D$2:$D$784,個人班表!$B$2:$B$784,$A108)</f>
        <v/>
      </c>
      <c r="O108" s="3">
        <f>IF(L108&lt;&gt;"是",0,IF(AND($A108=$A107,$L107="是"),O107+M108,M108))</f>
        <v/>
      </c>
    </row>
    <row r="109">
      <c r="A109" s="3" t="inlineStr">
        <is>
          <t>P0031</t>
        </is>
      </c>
      <c r="B109" s="3" t="inlineStr">
        <is>
          <t>梁綽恩</t>
        </is>
      </c>
      <c r="C109" s="3" t="n">
        <v>17</v>
      </c>
      <c r="D109" s="3" t="inlineStr">
        <is>
          <t>2026/06/21</t>
        </is>
      </c>
      <c r="E109" s="3" t="inlineStr">
        <is>
          <t>2026/06/27</t>
        </is>
      </c>
      <c r="F109" s="3" t="inlineStr">
        <is>
          <t>否</t>
        </is>
      </c>
      <c r="G109" s="3">
        <f>SUMIFS(個人班表!$I$2:$I$784,個人班表!$B$2:$B$784,$A109,個人班表!$D$2:$D$784,"&gt;="&amp;$D109,個人班表!$D$2:$D$784,"&lt;="&amp;$E109)</f>
        <v/>
      </c>
      <c r="H109" s="3">
        <f>IF(G109&gt;=17,"是","否")</f>
        <v/>
      </c>
      <c r="I109" s="3">
        <f>SUM(G106:G109)</f>
        <v/>
      </c>
      <c r="J109" s="3">
        <f>IF(I109&gt;=68,"是","否")</f>
        <v/>
      </c>
      <c r="K109" s="3">
        <f>IF(C109&gt;=4,"是","否")</f>
        <v/>
      </c>
      <c r="L109" s="3">
        <f>IF(AND(K109="是",OR(H109="是",J109="是")),"是","否")</f>
        <v/>
      </c>
      <c r="M109" s="3">
        <f>IF(L109="是",MIN(7,DATEDIF(DATEVALUE(SUBSTITUTE($D109,"/","-")),MIN(DATEVALUE(SUBSTITUTE($E109,"/","-")),DATEVALUE(SUBSTITUTE($N109,"/","-"))),"d")+1),0)</f>
        <v/>
      </c>
      <c r="N109" s="3">
        <f>MAXIFS(個人班表!$D$2:$D$784,個人班表!$B$2:$B$784,$A109)</f>
        <v/>
      </c>
      <c r="O109" s="3">
        <f>IF(L109&lt;&gt;"是",0,IF(AND($A109=$A108,$L108="是"),O108+M109,M109))</f>
        <v/>
      </c>
    </row>
    <row r="110">
      <c r="A110" s="3" t="inlineStr">
        <is>
          <t>P0031</t>
        </is>
      </c>
      <c r="B110" s="3" t="inlineStr">
        <is>
          <t>梁綽恩</t>
        </is>
      </c>
      <c r="C110" s="3" t="n">
        <v>18</v>
      </c>
      <c r="D110" s="3" t="inlineStr">
        <is>
          <t>2026/06/28</t>
        </is>
      </c>
      <c r="E110" s="3" t="inlineStr">
        <is>
          <t>2026/07/04</t>
        </is>
      </c>
      <c r="F110" s="3" t="inlineStr">
        <is>
          <t>否</t>
        </is>
      </c>
      <c r="G110" s="3">
        <f>SUMIFS(個人班表!$I$2:$I$784,個人班表!$B$2:$B$784,$A110,個人班表!$D$2:$D$784,"&gt;="&amp;$D110,個人班表!$D$2:$D$784,"&lt;="&amp;$E110)</f>
        <v/>
      </c>
      <c r="H110" s="3">
        <f>IF(G110&gt;=17,"是","否")</f>
        <v/>
      </c>
      <c r="I110" s="3">
        <f>SUM(G107:G110)</f>
        <v/>
      </c>
      <c r="J110" s="3">
        <f>IF(I110&gt;=68,"是","否")</f>
        <v/>
      </c>
      <c r="K110" s="3">
        <f>IF(C110&gt;=4,"是","否")</f>
        <v/>
      </c>
      <c r="L110" s="3">
        <f>IF(AND(K110="是",OR(H110="是",J110="是")),"是","否")</f>
        <v/>
      </c>
      <c r="M110" s="3">
        <f>IF(L110="是",MIN(7,DATEDIF(DATEVALUE(SUBSTITUTE($D110,"/","-")),MIN(DATEVALUE(SUBSTITUTE($E110,"/","-")),DATEVALUE(SUBSTITUTE($N110,"/","-"))),"d")+1),0)</f>
        <v/>
      </c>
      <c r="N110" s="3">
        <f>MAXIFS(個人班表!$D$2:$D$784,個人班表!$B$2:$B$784,$A110)</f>
        <v/>
      </c>
      <c r="O110" s="3">
        <f>IF(L110&lt;&gt;"是",0,IF(AND($A110=$A109,$L109="是"),O109+M110,M110))</f>
        <v/>
      </c>
    </row>
    <row r="111">
      <c r="A111" s="3" t="inlineStr">
        <is>
          <t>P0031</t>
        </is>
      </c>
      <c r="B111" s="3" t="inlineStr">
        <is>
          <t>梁綽恩</t>
        </is>
      </c>
      <c r="C111" s="3" t="n">
        <v>19</v>
      </c>
      <c r="D111" s="3" t="inlineStr">
        <is>
          <t>2026/07/05</t>
        </is>
      </c>
      <c r="E111" s="3" t="inlineStr">
        <is>
          <t>2026/07/11</t>
        </is>
      </c>
      <c r="F111" s="3" t="inlineStr">
        <is>
          <t>否</t>
        </is>
      </c>
      <c r="G111" s="3">
        <f>SUMIFS(個人班表!$I$2:$I$784,個人班表!$B$2:$B$784,$A111,個人班表!$D$2:$D$784,"&gt;="&amp;$D111,個人班表!$D$2:$D$784,"&lt;="&amp;$E111)</f>
        <v/>
      </c>
      <c r="H111" s="3">
        <f>IF(G111&gt;=17,"是","否")</f>
        <v/>
      </c>
      <c r="I111" s="3">
        <f>SUM(G108:G111)</f>
        <v/>
      </c>
      <c r="J111" s="3">
        <f>IF(I111&gt;=68,"是","否")</f>
        <v/>
      </c>
      <c r="K111" s="3">
        <f>IF(C111&gt;=4,"是","否")</f>
        <v/>
      </c>
      <c r="L111" s="3">
        <f>IF(AND(K111="是",OR(H111="是",J111="是")),"是","否")</f>
        <v/>
      </c>
      <c r="M111" s="3">
        <f>IF(L111="是",MIN(7,DATEDIF(DATEVALUE(SUBSTITUTE($D111,"/","-")),MIN(DATEVALUE(SUBSTITUTE($E111,"/","-")),DATEVALUE(SUBSTITUTE($N111,"/","-"))),"d")+1),0)</f>
        <v/>
      </c>
      <c r="N111" s="3">
        <f>MAXIFS(個人班表!$D$2:$D$784,個人班表!$B$2:$B$784,$A111)</f>
        <v/>
      </c>
      <c r="O111" s="3">
        <f>IF(L111&lt;&gt;"是",0,IF(AND($A111=$A110,$L110="是"),O110+M111,M111))</f>
        <v/>
      </c>
    </row>
    <row r="112">
      <c r="A112" s="3" t="inlineStr">
        <is>
          <t>P0031</t>
        </is>
      </c>
      <c r="B112" s="3" t="inlineStr">
        <is>
          <t>梁綽恩</t>
        </is>
      </c>
      <c r="C112" s="3" t="n">
        <v>20</v>
      </c>
      <c r="D112" s="3" t="inlineStr">
        <is>
          <t>2026/07/12</t>
        </is>
      </c>
      <c r="E112" s="3" t="inlineStr">
        <is>
          <t>2026/07/18</t>
        </is>
      </c>
      <c r="F112" s="3" t="inlineStr">
        <is>
          <t>否</t>
        </is>
      </c>
      <c r="G112" s="3">
        <f>SUMIFS(個人班表!$I$2:$I$784,個人班表!$B$2:$B$784,$A112,個人班表!$D$2:$D$784,"&gt;="&amp;$D112,個人班表!$D$2:$D$784,"&lt;="&amp;$E112)</f>
        <v/>
      </c>
      <c r="H112" s="3">
        <f>IF(G112&gt;=17,"是","否")</f>
        <v/>
      </c>
      <c r="I112" s="3">
        <f>SUM(G109:G112)</f>
        <v/>
      </c>
      <c r="J112" s="3">
        <f>IF(I112&gt;=68,"是","否")</f>
        <v/>
      </c>
      <c r="K112" s="3">
        <f>IF(C112&gt;=4,"是","否")</f>
        <v/>
      </c>
      <c r="L112" s="3">
        <f>IF(AND(K112="是",OR(H112="是",J112="是")),"是","否")</f>
        <v/>
      </c>
      <c r="M112" s="3">
        <f>IF(L112="是",MIN(7,DATEDIF(DATEVALUE(SUBSTITUTE($D112,"/","-")),MIN(DATEVALUE(SUBSTITUTE($E112,"/","-")),DATEVALUE(SUBSTITUTE($N112,"/","-"))),"d")+1),0)</f>
        <v/>
      </c>
      <c r="N112" s="3">
        <f>MAXIFS(個人班表!$D$2:$D$784,個人班表!$B$2:$B$784,$A112)</f>
        <v/>
      </c>
      <c r="O112" s="3">
        <f>IF(L112&lt;&gt;"是",0,IF(AND($A112=$A111,$L111="是"),O111+M112,M112))</f>
        <v/>
      </c>
    </row>
    <row r="113">
      <c r="A113" s="3" t="inlineStr">
        <is>
          <t>P0031</t>
        </is>
      </c>
      <c r="B113" s="3" t="inlineStr">
        <is>
          <t>梁綽恩</t>
        </is>
      </c>
      <c r="C113" s="3" t="n">
        <v>21</v>
      </c>
      <c r="D113" s="3" t="inlineStr">
        <is>
          <t>2026/07/19</t>
        </is>
      </c>
      <c r="E113" s="3" t="inlineStr">
        <is>
          <t>2026/07/25</t>
        </is>
      </c>
      <c r="F113" s="3" t="inlineStr">
        <is>
          <t>否</t>
        </is>
      </c>
      <c r="G113" s="3">
        <f>SUMIFS(個人班表!$I$2:$I$784,個人班表!$B$2:$B$784,$A113,個人班表!$D$2:$D$784,"&gt;="&amp;$D113,個人班表!$D$2:$D$784,"&lt;="&amp;$E113)</f>
        <v/>
      </c>
      <c r="H113" s="3">
        <f>IF(G113&gt;=17,"是","否")</f>
        <v/>
      </c>
      <c r="I113" s="3">
        <f>SUM(G110:G113)</f>
        <v/>
      </c>
      <c r="J113" s="3">
        <f>IF(I113&gt;=68,"是","否")</f>
        <v/>
      </c>
      <c r="K113" s="3">
        <f>IF(C113&gt;=4,"是","否")</f>
        <v/>
      </c>
      <c r="L113" s="3">
        <f>IF(AND(K113="是",OR(H113="是",J113="是")),"是","否")</f>
        <v/>
      </c>
      <c r="M113" s="3">
        <f>IF(L113="是",MIN(7,DATEDIF(DATEVALUE(SUBSTITUTE($D113,"/","-")),MIN(DATEVALUE(SUBSTITUTE($E113,"/","-")),DATEVALUE(SUBSTITUTE($N113,"/","-"))),"d")+1),0)</f>
        <v/>
      </c>
      <c r="N113" s="3">
        <f>MAXIFS(個人班表!$D$2:$D$784,個人班表!$B$2:$B$784,$A113)</f>
        <v/>
      </c>
      <c r="O113" s="3">
        <f>IF(L113&lt;&gt;"是",0,IF(AND($A113=$A112,$L112="是"),O112+M113,M113))</f>
        <v/>
      </c>
    </row>
    <row r="114">
      <c r="A114" s="3" t="inlineStr">
        <is>
          <t>P0031</t>
        </is>
      </c>
      <c r="B114" s="3" t="inlineStr">
        <is>
          <t>梁綽恩</t>
        </is>
      </c>
      <c r="C114" s="3" t="n">
        <v>22</v>
      </c>
      <c r="D114" s="3" t="inlineStr">
        <is>
          <t>2026/07/26</t>
        </is>
      </c>
      <c r="E114" s="3" t="inlineStr">
        <is>
          <t>2026/08/01</t>
        </is>
      </c>
      <c r="F114" s="3" t="inlineStr">
        <is>
          <t>是</t>
        </is>
      </c>
      <c r="G114" s="3">
        <f>SUMIFS(個人班表!$I$2:$I$784,個人班表!$B$2:$B$784,$A114,個人班表!$D$2:$D$784,"&gt;="&amp;$D114,個人班表!$D$2:$D$784,"&lt;="&amp;$E114)</f>
        <v/>
      </c>
      <c r="H114" s="3">
        <f>IF(G114&gt;=17,"是","否")</f>
        <v/>
      </c>
      <c r="I114" s="3">
        <f>SUM(G111:G114)</f>
        <v/>
      </c>
      <c r="J114" s="3">
        <f>IF(I114&gt;=68,"是","否")</f>
        <v/>
      </c>
      <c r="K114" s="3">
        <f>IF(C114&gt;=4,"是","否")</f>
        <v/>
      </c>
      <c r="L114" s="3">
        <f>IF(AND(K114="是",OR(H114="是",J114="是")),"是","否")</f>
        <v/>
      </c>
      <c r="M114" s="3">
        <f>IF(L114="是",MIN(7,DATEDIF(DATEVALUE(SUBSTITUTE($D114,"/","-")),MIN(DATEVALUE(SUBSTITUTE($E114,"/","-")),DATEVALUE(SUBSTITUTE($N114,"/","-"))),"d")+1),0)</f>
        <v/>
      </c>
      <c r="N114" s="3">
        <f>MAXIFS(個人班表!$D$2:$D$784,個人班表!$B$2:$B$784,$A114)</f>
        <v/>
      </c>
      <c r="O114" s="3">
        <f>IF(L114&lt;&gt;"是",0,IF(AND($A114=$A113,$L113="是"),O113+M114,M114))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84"/>
  <sheetViews>
    <sheetView tabSelected="1" workbookViewId="0">
      <selection activeCell="K13" sqref="K13"/>
    </sheetView>
  </sheetViews>
  <sheetFormatPr baseColWidth="8" defaultRowHeight="14.5"/>
  <cols>
    <col width="12.59765625" bestFit="1" customWidth="1" style="1" min="1" max="1"/>
    <col width="6.5" bestFit="1" customWidth="1" style="1" min="2" max="2"/>
    <col width="8" bestFit="1" customWidth="1" style="1" min="3" max="3"/>
    <col width="10.69921875" bestFit="1" customWidth="1" style="1" min="4" max="4"/>
    <col width="10.19921875" bestFit="1" customWidth="1" style="1" min="5" max="5"/>
    <col width="12.296875" bestFit="1" customWidth="1" style="1" min="6" max="6"/>
    <col width="10.19921875" bestFit="1" customWidth="1" style="1" min="7" max="9"/>
    <col width="17.3984375" bestFit="1" customWidth="1" style="1" min="10" max="11"/>
    <col width="19.796875" bestFit="1" customWidth="1" style="1" min="12" max="12"/>
  </cols>
  <sheetData>
    <row r="1">
      <c r="A1" s="0" t="inlineStr">
        <is>
          <t>單位</t>
        </is>
      </c>
      <c r="B1" s="0" t="inlineStr">
        <is>
          <t>工號</t>
        </is>
      </c>
      <c r="C1" s="0" t="inlineStr">
        <is>
          <t>姓名</t>
        </is>
      </c>
      <c r="D1" s="0" t="inlineStr">
        <is>
          <t>日期</t>
        </is>
      </c>
      <c r="E1" s="0" t="inlineStr">
        <is>
          <t>狀態</t>
        </is>
      </c>
      <c r="F1" s="0" t="inlineStr">
        <is>
          <t>班次</t>
        </is>
      </c>
      <c r="G1" s="0" t="inlineStr">
        <is>
          <t>上班時間</t>
        </is>
      </c>
      <c r="H1" s="0" t="inlineStr">
        <is>
          <t>下班時間</t>
        </is>
      </c>
      <c r="I1" s="0" t="inlineStr">
        <is>
          <t>總計工時</t>
        </is>
      </c>
      <c r="J1" s="0" t="inlineStr">
        <is>
          <t>調整後上班時間</t>
        </is>
      </c>
      <c r="K1" s="0" t="inlineStr">
        <is>
          <t>調整後下班時間</t>
        </is>
      </c>
      <c r="L1" s="0" t="inlineStr">
        <is>
          <t>是否為彈性上下班</t>
        </is>
      </c>
    </row>
    <row r="2">
      <c r="A2" s="0" t="inlineStr">
        <is>
          <t>香港專櫃課</t>
        </is>
      </c>
      <c r="B2" s="0" t="inlineStr">
        <is>
          <t>P0026</t>
        </is>
      </c>
      <c r="C2" s="0" t="inlineStr">
        <is>
          <t>李芷彤</t>
        </is>
      </c>
      <c r="D2" s="0" t="inlineStr">
        <is>
          <t>2026/03/01</t>
        </is>
      </c>
      <c r="I2" s="0" t="n">
        <v>0</v>
      </c>
    </row>
    <row r="3">
      <c r="A3" s="0" t="inlineStr">
        <is>
          <t>香港專櫃課</t>
        </is>
      </c>
      <c r="B3" s="0" t="inlineStr">
        <is>
          <t>P0026</t>
        </is>
      </c>
      <c r="C3" s="0" t="inlineStr">
        <is>
          <t>李芷彤</t>
        </is>
      </c>
      <c r="D3" s="0" t="inlineStr">
        <is>
          <t>2026/03/02</t>
        </is>
      </c>
      <c r="I3" s="0" t="n">
        <v>0</v>
      </c>
    </row>
    <row r="4">
      <c r="A4" s="0" t="inlineStr">
        <is>
          <t>香港專櫃課</t>
        </is>
      </c>
      <c r="B4" s="0" t="inlineStr">
        <is>
          <t>P0026</t>
        </is>
      </c>
      <c r="C4" s="0" t="inlineStr">
        <is>
          <t>李芷彤</t>
        </is>
      </c>
      <c r="D4" s="0" t="inlineStr">
        <is>
          <t>2026/03/03</t>
        </is>
      </c>
      <c r="I4" s="0" t="n">
        <v>0</v>
      </c>
    </row>
    <row r="5">
      <c r="A5" s="0" t="inlineStr">
        <is>
          <t>香港專櫃課</t>
        </is>
      </c>
      <c r="B5" s="0" t="inlineStr">
        <is>
          <t>P0026</t>
        </is>
      </c>
      <c r="C5" s="0" t="inlineStr">
        <is>
          <t>李芷彤</t>
        </is>
      </c>
      <c r="D5" s="0" t="inlineStr">
        <is>
          <t>2026/03/04</t>
        </is>
      </c>
      <c r="I5" s="0" t="n">
        <v>0</v>
      </c>
    </row>
    <row r="6">
      <c r="A6" s="0" t="inlineStr">
        <is>
          <t>香港專櫃課</t>
        </is>
      </c>
      <c r="B6" s="0" t="inlineStr">
        <is>
          <t>P0026</t>
        </is>
      </c>
      <c r="C6" s="0" t="inlineStr">
        <is>
          <t>李芷彤</t>
        </is>
      </c>
      <c r="D6" s="0" t="inlineStr">
        <is>
          <t>2026/03/05</t>
        </is>
      </c>
      <c r="I6" s="0" t="n">
        <v>0</v>
      </c>
    </row>
    <row r="7">
      <c r="A7" s="0" t="inlineStr">
        <is>
          <t>香港專櫃課</t>
        </is>
      </c>
      <c r="B7" s="0" t="inlineStr">
        <is>
          <t>P0026</t>
        </is>
      </c>
      <c r="C7" s="0" t="inlineStr">
        <is>
          <t>李芷彤</t>
        </is>
      </c>
      <c r="D7" s="0" t="inlineStr">
        <is>
          <t>2026/03/06</t>
        </is>
      </c>
      <c r="I7" s="0" t="n">
        <v>0</v>
      </c>
    </row>
    <row r="8">
      <c r="A8" s="0" t="inlineStr">
        <is>
          <t>香港專櫃課</t>
        </is>
      </c>
      <c r="B8" s="0" t="inlineStr">
        <is>
          <t>P0026</t>
        </is>
      </c>
      <c r="C8" s="0" t="inlineStr">
        <is>
          <t>李芷彤</t>
        </is>
      </c>
      <c r="D8" s="0" t="inlineStr">
        <is>
          <t>2026/03/07</t>
        </is>
      </c>
      <c r="I8" s="0" t="n">
        <v>0</v>
      </c>
    </row>
    <row r="9">
      <c r="A9" s="0" t="inlineStr">
        <is>
          <t>香港專櫃課</t>
        </is>
      </c>
      <c r="B9" s="0" t="inlineStr">
        <is>
          <t>P0026</t>
        </is>
      </c>
      <c r="C9" s="0" t="inlineStr">
        <is>
          <t>李芷彤</t>
        </is>
      </c>
      <c r="D9" s="0" t="inlineStr">
        <is>
          <t>2026/03/08</t>
        </is>
      </c>
      <c r="I9" s="0" t="n">
        <v>0</v>
      </c>
    </row>
    <row r="10">
      <c r="A10" s="0" t="inlineStr">
        <is>
          <t>香港專櫃課</t>
        </is>
      </c>
      <c r="B10" s="0" t="inlineStr">
        <is>
          <t>P0026</t>
        </is>
      </c>
      <c r="C10" s="0" t="inlineStr">
        <is>
          <t>李芷彤</t>
        </is>
      </c>
      <c r="D10" s="0" t="inlineStr">
        <is>
          <t>2026/03/09</t>
        </is>
      </c>
      <c r="I10" s="0" t="n">
        <v>0</v>
      </c>
    </row>
    <row r="11">
      <c r="A11" s="0" t="inlineStr">
        <is>
          <t>香港專櫃課</t>
        </is>
      </c>
      <c r="B11" s="0" t="inlineStr">
        <is>
          <t>P0026</t>
        </is>
      </c>
      <c r="C11" s="0" t="inlineStr">
        <is>
          <t>李芷彤</t>
        </is>
      </c>
      <c r="D11" s="0" t="inlineStr">
        <is>
          <t>2026/03/10</t>
        </is>
      </c>
      <c r="I11" s="0" t="n">
        <v>0</v>
      </c>
    </row>
    <row r="12">
      <c r="A12" s="0" t="inlineStr">
        <is>
          <t>香港專櫃課</t>
        </is>
      </c>
      <c r="B12" s="0" t="inlineStr">
        <is>
          <t>P0026</t>
        </is>
      </c>
      <c r="C12" s="0" t="inlineStr">
        <is>
          <t>李芷彤</t>
        </is>
      </c>
      <c r="D12" s="0" t="inlineStr">
        <is>
          <t>2026/03/11</t>
        </is>
      </c>
      <c r="I12" s="0" t="n">
        <v>0</v>
      </c>
    </row>
    <row r="13">
      <c r="A13" s="0" t="inlineStr">
        <is>
          <t>香港專櫃課</t>
        </is>
      </c>
      <c r="B13" s="0" t="inlineStr">
        <is>
          <t>P0026</t>
        </is>
      </c>
      <c r="C13" s="0" t="inlineStr">
        <is>
          <t>李芷彤</t>
        </is>
      </c>
      <c r="D13" s="0" t="inlineStr">
        <is>
          <t>2026/03/12</t>
        </is>
      </c>
      <c r="E13" s="0" t="inlineStr">
        <is>
          <t>上班</t>
        </is>
      </c>
      <c r="F13" s="0" t="inlineStr">
        <is>
          <t>職前訓練</t>
        </is>
      </c>
      <c r="G13" s="0" t="inlineStr">
        <is>
          <t>18:00</t>
        </is>
      </c>
      <c r="H13" s="0" t="inlineStr">
        <is>
          <t>20:00</t>
        </is>
      </c>
      <c r="I13" s="0" t="n">
        <v>2</v>
      </c>
      <c r="J13" s="0" t="inlineStr">
        <is>
          <t>18:00</t>
        </is>
      </c>
      <c r="K13" s="0" t="inlineStr">
        <is>
          <t>20:00</t>
        </is>
      </c>
      <c r="L13" s="0" t="inlineStr">
        <is>
          <t>否</t>
        </is>
      </c>
    </row>
    <row r="14">
      <c r="A14" s="0" t="inlineStr">
        <is>
          <t>香港專櫃課</t>
        </is>
      </c>
      <c r="B14" s="0" t="inlineStr">
        <is>
          <t>P0026</t>
        </is>
      </c>
      <c r="C14" s="0" t="inlineStr">
        <is>
          <t>李芷彤</t>
        </is>
      </c>
      <c r="D14" s="0" t="inlineStr">
        <is>
          <t>2026/03/13</t>
        </is>
      </c>
      <c r="I14" s="0" t="n">
        <v>0</v>
      </c>
    </row>
    <row r="15">
      <c r="A15" s="0" t="inlineStr">
        <is>
          <t>香港專櫃課</t>
        </is>
      </c>
      <c r="B15" s="0" t="inlineStr">
        <is>
          <t>P0026</t>
        </is>
      </c>
      <c r="C15" s="0" t="inlineStr">
        <is>
          <t>李芷彤</t>
        </is>
      </c>
      <c r="D15" s="0" t="inlineStr">
        <is>
          <t>2026/03/14</t>
        </is>
      </c>
      <c r="E15" s="0" t="inlineStr">
        <is>
          <t>上班</t>
        </is>
      </c>
      <c r="F15" s="0" t="inlineStr">
        <is>
          <t>職前訓練</t>
        </is>
      </c>
      <c r="G15" s="0" t="inlineStr">
        <is>
          <t>19:00</t>
        </is>
      </c>
      <c r="H15" s="0" t="inlineStr">
        <is>
          <t>21:00</t>
        </is>
      </c>
      <c r="I15" s="0" t="n">
        <v>2</v>
      </c>
      <c r="J15" s="0" t="inlineStr">
        <is>
          <t>19:00</t>
        </is>
      </c>
      <c r="K15" s="0" t="inlineStr">
        <is>
          <t>21:00</t>
        </is>
      </c>
      <c r="L15" s="0" t="inlineStr">
        <is>
          <t>否</t>
        </is>
      </c>
    </row>
    <row r="16">
      <c r="A16" s="0" t="inlineStr">
        <is>
          <t>香港專櫃課</t>
        </is>
      </c>
      <c r="B16" s="0" t="inlineStr">
        <is>
          <t>P0026</t>
        </is>
      </c>
      <c r="C16" s="0" t="inlineStr">
        <is>
          <t>李芷彤</t>
        </is>
      </c>
      <c r="D16" s="0" t="inlineStr">
        <is>
          <t>2026/03/15</t>
        </is>
      </c>
      <c r="E16" s="0" t="inlineStr">
        <is>
          <t>上班</t>
        </is>
      </c>
      <c r="F16" s="0" t="inlineStr">
        <is>
          <t>職前訓練</t>
        </is>
      </c>
      <c r="G16" s="0" t="inlineStr">
        <is>
          <t>18:00</t>
        </is>
      </c>
      <c r="H16" s="0" t="inlineStr">
        <is>
          <t>20:00</t>
        </is>
      </c>
      <c r="I16" s="0" t="n">
        <v>2</v>
      </c>
      <c r="J16" s="0" t="inlineStr">
        <is>
          <t>18:00</t>
        </is>
      </c>
      <c r="K16" s="0" t="inlineStr">
        <is>
          <t>20:00</t>
        </is>
      </c>
      <c r="L16" s="0" t="inlineStr">
        <is>
          <t>否</t>
        </is>
      </c>
    </row>
    <row r="17">
      <c r="A17" s="0" t="inlineStr">
        <is>
          <t>香港專櫃課</t>
        </is>
      </c>
      <c r="B17" s="0" t="inlineStr">
        <is>
          <t>P0026</t>
        </is>
      </c>
      <c r="C17" s="0" t="inlineStr">
        <is>
          <t>李芷彤</t>
        </is>
      </c>
      <c r="D17" s="0" t="inlineStr">
        <is>
          <t>2026/03/16</t>
        </is>
      </c>
      <c r="I17" s="0" t="n">
        <v>0</v>
      </c>
    </row>
    <row r="18">
      <c r="A18" s="0" t="inlineStr">
        <is>
          <t>香港專櫃課</t>
        </is>
      </c>
      <c r="B18" s="0" t="inlineStr">
        <is>
          <t>P0026</t>
        </is>
      </c>
      <c r="C18" s="0" t="inlineStr">
        <is>
          <t>李芷彤</t>
        </is>
      </c>
      <c r="D18" s="0" t="inlineStr">
        <is>
          <t>2026/03/17</t>
        </is>
      </c>
      <c r="I18" s="0" t="n">
        <v>0</v>
      </c>
    </row>
    <row r="19">
      <c r="A19" s="0" t="inlineStr">
        <is>
          <t>香港專櫃課</t>
        </is>
      </c>
      <c r="B19" s="0" t="inlineStr">
        <is>
          <t>P0026</t>
        </is>
      </c>
      <c r="C19" s="0" t="inlineStr">
        <is>
          <t>李芷彤</t>
        </is>
      </c>
      <c r="D19" s="0" t="inlineStr">
        <is>
          <t>2026/03/18</t>
        </is>
      </c>
      <c r="I19" s="0" t="n">
        <v>0</v>
      </c>
    </row>
    <row r="20">
      <c r="A20" s="0" t="inlineStr">
        <is>
          <t>香港專櫃課</t>
        </is>
      </c>
      <c r="B20" s="0" t="inlineStr">
        <is>
          <t>P0026</t>
        </is>
      </c>
      <c r="C20" s="0" t="inlineStr">
        <is>
          <t>李芷彤</t>
        </is>
      </c>
      <c r="D20" s="0" t="inlineStr">
        <is>
          <t>2026/03/19</t>
        </is>
      </c>
      <c r="E20" s="0" t="inlineStr">
        <is>
          <t>月休</t>
        </is>
      </c>
      <c r="I20" s="0" t="n">
        <v>0</v>
      </c>
    </row>
    <row r="21">
      <c r="A21" s="0" t="inlineStr">
        <is>
          <t>香港專櫃課</t>
        </is>
      </c>
      <c r="B21" s="0" t="inlineStr">
        <is>
          <t>P0026</t>
        </is>
      </c>
      <c r="C21" s="0" t="inlineStr">
        <is>
          <t>李芷彤</t>
        </is>
      </c>
      <c r="D21" s="0" t="inlineStr">
        <is>
          <t>2026/03/20</t>
        </is>
      </c>
      <c r="E21" s="0" t="inlineStr">
        <is>
          <t>月休</t>
        </is>
      </c>
      <c r="I21" s="0" t="n">
        <v>0</v>
      </c>
    </row>
    <row r="22">
      <c r="A22" s="0" t="inlineStr">
        <is>
          <t>香港專櫃課</t>
        </is>
      </c>
      <c r="B22" s="0" t="inlineStr">
        <is>
          <t>P0026</t>
        </is>
      </c>
      <c r="C22" s="0" t="inlineStr">
        <is>
          <t>李芷彤</t>
        </is>
      </c>
      <c r="D22" s="0" t="inlineStr">
        <is>
          <t>2026/03/21</t>
        </is>
      </c>
      <c r="E22" s="0" t="inlineStr">
        <is>
          <t>月休</t>
        </is>
      </c>
      <c r="I22" s="0" t="n">
        <v>0</v>
      </c>
    </row>
    <row r="23">
      <c r="A23" s="0" t="inlineStr">
        <is>
          <t>香港專櫃課</t>
        </is>
      </c>
      <c r="B23" s="0" t="inlineStr">
        <is>
          <t>P0026</t>
        </is>
      </c>
      <c r="C23" s="0" t="inlineStr">
        <is>
          <t>李芷彤</t>
        </is>
      </c>
      <c r="D23" s="0" t="inlineStr">
        <is>
          <t>2026/03/22</t>
        </is>
      </c>
      <c r="E23" s="0" t="inlineStr">
        <is>
          <t>月休</t>
        </is>
      </c>
      <c r="I23" s="0" t="n">
        <v>0</v>
      </c>
    </row>
    <row r="24">
      <c r="A24" s="0" t="inlineStr">
        <is>
          <t>香港專櫃課</t>
        </is>
      </c>
      <c r="B24" s="0" t="inlineStr">
        <is>
          <t>P0026</t>
        </is>
      </c>
      <c r="C24" s="0" t="inlineStr">
        <is>
          <t>李芷彤</t>
        </is>
      </c>
      <c r="D24" s="0" t="inlineStr">
        <is>
          <t>2026/03/23</t>
        </is>
      </c>
      <c r="E24" s="0" t="inlineStr">
        <is>
          <t>上班</t>
        </is>
      </c>
      <c r="F24" s="0" t="inlineStr">
        <is>
          <t>香港晚班</t>
        </is>
      </c>
      <c r="G24" s="0" t="inlineStr">
        <is>
          <t>16:00</t>
        </is>
      </c>
      <c r="H24" s="0" t="inlineStr">
        <is>
          <t>21:00</t>
        </is>
      </c>
      <c r="I24" s="0" t="n">
        <v>5</v>
      </c>
      <c r="J24" s="0" t="inlineStr">
        <is>
          <t>16:00</t>
        </is>
      </c>
      <c r="K24" s="0" t="inlineStr">
        <is>
          <t>21:00</t>
        </is>
      </c>
      <c r="L24" s="0" t="inlineStr">
        <is>
          <t>否</t>
        </is>
      </c>
    </row>
    <row r="25">
      <c r="A25" s="0" t="inlineStr">
        <is>
          <t>香港專櫃課</t>
        </is>
      </c>
      <c r="B25" s="0" t="inlineStr">
        <is>
          <t>P0026</t>
        </is>
      </c>
      <c r="C25" s="0" t="inlineStr">
        <is>
          <t>李芷彤</t>
        </is>
      </c>
      <c r="D25" s="0" t="inlineStr">
        <is>
          <t>2026/03/24</t>
        </is>
      </c>
      <c r="E25" s="0" t="inlineStr">
        <is>
          <t>上班</t>
        </is>
      </c>
      <c r="F25" s="0" t="inlineStr">
        <is>
          <t>香港晚班</t>
        </is>
      </c>
      <c r="G25" s="0" t="inlineStr">
        <is>
          <t>16:00</t>
        </is>
      </c>
      <c r="H25" s="0" t="inlineStr">
        <is>
          <t>21:00</t>
        </is>
      </c>
      <c r="I25" s="0" t="n">
        <v>5</v>
      </c>
      <c r="J25" s="0" t="inlineStr">
        <is>
          <t>16:00</t>
        </is>
      </c>
      <c r="K25" s="0" t="inlineStr">
        <is>
          <t>21:00</t>
        </is>
      </c>
      <c r="L25" s="0" t="inlineStr">
        <is>
          <t>否</t>
        </is>
      </c>
    </row>
    <row r="26">
      <c r="A26" s="0" t="inlineStr">
        <is>
          <t>香港專櫃課</t>
        </is>
      </c>
      <c r="B26" s="0" t="inlineStr">
        <is>
          <t>P0026</t>
        </is>
      </c>
      <c r="C26" s="0" t="inlineStr">
        <is>
          <t>李芷彤</t>
        </is>
      </c>
      <c r="D26" s="0" t="inlineStr">
        <is>
          <t>2026/03/25</t>
        </is>
      </c>
      <c r="E26" s="0" t="inlineStr">
        <is>
          <t>上班</t>
        </is>
      </c>
      <c r="F26" s="0" t="inlineStr">
        <is>
          <t>香港早班</t>
        </is>
      </c>
      <c r="G26" s="0" t="inlineStr">
        <is>
          <t>10:30</t>
        </is>
      </c>
      <c r="H26" s="0" t="inlineStr">
        <is>
          <t>16:30</t>
        </is>
      </c>
      <c r="I26" s="0" t="n">
        <v>6</v>
      </c>
      <c r="J26" s="0" t="inlineStr">
        <is>
          <t>10:30</t>
        </is>
      </c>
      <c r="K26" s="0" t="inlineStr">
        <is>
          <t>16:30</t>
        </is>
      </c>
      <c r="L26" s="0" t="inlineStr">
        <is>
          <t>否</t>
        </is>
      </c>
    </row>
    <row r="27">
      <c r="A27" s="0" t="inlineStr">
        <is>
          <t>香港專櫃課</t>
        </is>
      </c>
      <c r="B27" s="0" t="inlineStr">
        <is>
          <t>P0026</t>
        </is>
      </c>
      <c r="C27" s="0" t="inlineStr">
        <is>
          <t>李芷彤</t>
        </is>
      </c>
      <c r="D27" s="0" t="inlineStr">
        <is>
          <t>2026/03/26</t>
        </is>
      </c>
      <c r="E27" s="0" t="inlineStr">
        <is>
          <t>月休</t>
        </is>
      </c>
      <c r="I27" s="0" t="n">
        <v>0</v>
      </c>
    </row>
    <row r="28">
      <c r="A28" s="0" t="inlineStr">
        <is>
          <t>香港專櫃課</t>
        </is>
      </c>
      <c r="B28" s="0" t="inlineStr">
        <is>
          <t>P0026</t>
        </is>
      </c>
      <c r="C28" s="0" t="inlineStr">
        <is>
          <t>李芷彤</t>
        </is>
      </c>
      <c r="D28" s="0" t="inlineStr">
        <is>
          <t>2026/03/27</t>
        </is>
      </c>
      <c r="E28" s="0" t="inlineStr">
        <is>
          <t>上班</t>
        </is>
      </c>
      <c r="F28" s="0" t="inlineStr">
        <is>
          <t>香港ALL班</t>
        </is>
      </c>
      <c r="G28" s="0" t="inlineStr">
        <is>
          <t>10:30</t>
        </is>
      </c>
      <c r="H28" s="0" t="inlineStr">
        <is>
          <t>21:00</t>
        </is>
      </c>
      <c r="I28" s="0" t="n">
        <v>10.5</v>
      </c>
      <c r="J28" s="0" t="inlineStr">
        <is>
          <t>10:30</t>
        </is>
      </c>
      <c r="K28" s="0" t="inlineStr">
        <is>
          <t>21:00</t>
        </is>
      </c>
      <c r="L28" s="0" t="inlineStr">
        <is>
          <t>否</t>
        </is>
      </c>
    </row>
    <row r="29">
      <c r="A29" s="0" t="inlineStr">
        <is>
          <t>香港專櫃課</t>
        </is>
      </c>
      <c r="B29" s="0" t="inlineStr">
        <is>
          <t>P0026</t>
        </is>
      </c>
      <c r="C29" s="0" t="inlineStr">
        <is>
          <t>李芷彤</t>
        </is>
      </c>
      <c r="D29" s="0" t="inlineStr">
        <is>
          <t>2026/03/28</t>
        </is>
      </c>
      <c r="E29" s="0" t="inlineStr">
        <is>
          <t>上班</t>
        </is>
      </c>
      <c r="F29" s="0" t="inlineStr">
        <is>
          <t>香港晚班</t>
        </is>
      </c>
      <c r="G29" s="0" t="inlineStr">
        <is>
          <t>16:00</t>
        </is>
      </c>
      <c r="H29" s="0" t="inlineStr">
        <is>
          <t>21:00</t>
        </is>
      </c>
      <c r="I29" s="0" t="n">
        <v>5</v>
      </c>
      <c r="J29" s="0" t="inlineStr">
        <is>
          <t>16:00</t>
        </is>
      </c>
      <c r="K29" s="0" t="inlineStr">
        <is>
          <t>21:00</t>
        </is>
      </c>
      <c r="L29" s="0" t="inlineStr">
        <is>
          <t>否</t>
        </is>
      </c>
    </row>
    <row r="30">
      <c r="A30" s="0" t="inlineStr">
        <is>
          <t>香港專櫃課</t>
        </is>
      </c>
      <c r="B30" s="0" t="inlineStr">
        <is>
          <t>P0026</t>
        </is>
      </c>
      <c r="C30" s="0" t="inlineStr">
        <is>
          <t>李芷彤</t>
        </is>
      </c>
      <c r="D30" s="0" t="inlineStr">
        <is>
          <t>2026/03/29</t>
        </is>
      </c>
      <c r="E30" s="0" t="inlineStr">
        <is>
          <t>月休</t>
        </is>
      </c>
      <c r="I30" s="0" t="n">
        <v>0</v>
      </c>
    </row>
    <row r="31">
      <c r="A31" s="0" t="inlineStr">
        <is>
          <t>香港專櫃課</t>
        </is>
      </c>
      <c r="B31" s="0" t="inlineStr">
        <is>
          <t>P0026</t>
        </is>
      </c>
      <c r="C31" s="0" t="inlineStr">
        <is>
          <t>李芷彤</t>
        </is>
      </c>
      <c r="D31" s="0" t="inlineStr">
        <is>
          <t>2026/03/30</t>
        </is>
      </c>
      <c r="E31" s="0" t="inlineStr">
        <is>
          <t>上班</t>
        </is>
      </c>
      <c r="F31" s="0" t="inlineStr">
        <is>
          <t>香港晚班</t>
        </is>
      </c>
      <c r="G31" s="0" t="inlineStr">
        <is>
          <t>16:00</t>
        </is>
      </c>
      <c r="H31" s="0" t="inlineStr">
        <is>
          <t>21:00</t>
        </is>
      </c>
      <c r="I31" s="0" t="n">
        <v>5</v>
      </c>
      <c r="J31" s="0" t="inlineStr">
        <is>
          <t>16:00</t>
        </is>
      </c>
      <c r="K31" s="0" t="inlineStr">
        <is>
          <t>21:00</t>
        </is>
      </c>
      <c r="L31" s="0" t="inlineStr">
        <is>
          <t>否</t>
        </is>
      </c>
    </row>
    <row r="32">
      <c r="A32" s="0" t="inlineStr">
        <is>
          <t>香港專櫃課</t>
        </is>
      </c>
      <c r="B32" s="0" t="inlineStr">
        <is>
          <t>P0026</t>
        </is>
      </c>
      <c r="C32" s="0" t="inlineStr">
        <is>
          <t>李芷彤</t>
        </is>
      </c>
      <c r="D32" s="0" t="inlineStr">
        <is>
          <t>2026/03/31</t>
        </is>
      </c>
      <c r="E32" s="0" t="inlineStr">
        <is>
          <t>月休</t>
        </is>
      </c>
      <c r="I32" s="0" t="n">
        <v>0</v>
      </c>
    </row>
    <row r="33">
      <c r="A33" s="0" t="inlineStr">
        <is>
          <t>香港專櫃課</t>
        </is>
      </c>
      <c r="B33" s="0" t="inlineStr">
        <is>
          <t>P0026</t>
        </is>
      </c>
      <c r="C33" s="0" t="inlineStr">
        <is>
          <t>李芷彤</t>
        </is>
      </c>
      <c r="D33" s="0" t="inlineStr">
        <is>
          <t>2026/04/01</t>
        </is>
      </c>
      <c r="E33" s="0" t="inlineStr">
        <is>
          <t>上班</t>
        </is>
      </c>
      <c r="F33" s="0" t="inlineStr">
        <is>
          <t>香港晚班</t>
        </is>
      </c>
      <c r="G33" s="0" t="inlineStr">
        <is>
          <t>16:00</t>
        </is>
      </c>
      <c r="H33" s="0" t="inlineStr">
        <is>
          <t>21:00</t>
        </is>
      </c>
      <c r="I33" s="0" t="n">
        <v>5</v>
      </c>
      <c r="J33" s="0" t="inlineStr">
        <is>
          <t>16:00</t>
        </is>
      </c>
      <c r="K33" s="0" t="inlineStr">
        <is>
          <t>21:00</t>
        </is>
      </c>
      <c r="L33" s="0" t="inlineStr">
        <is>
          <t>否</t>
        </is>
      </c>
    </row>
    <row r="34">
      <c r="A34" s="0" t="inlineStr">
        <is>
          <t>香港專櫃課</t>
        </is>
      </c>
      <c r="B34" s="0" t="inlineStr">
        <is>
          <t>P0026</t>
        </is>
      </c>
      <c r="C34" s="0" t="inlineStr">
        <is>
          <t>李芷彤</t>
        </is>
      </c>
      <c r="D34" s="0" t="inlineStr">
        <is>
          <t>2026/04/02</t>
        </is>
      </c>
      <c r="E34" s="0" t="inlineStr">
        <is>
          <t>月休</t>
        </is>
      </c>
      <c r="I34" s="0" t="n">
        <v>0</v>
      </c>
    </row>
    <row r="35">
      <c r="A35" s="0" t="inlineStr">
        <is>
          <t>香港專櫃課</t>
        </is>
      </c>
      <c r="B35" s="0" t="inlineStr">
        <is>
          <t>P0026</t>
        </is>
      </c>
      <c r="C35" s="0" t="inlineStr">
        <is>
          <t>李芷彤</t>
        </is>
      </c>
      <c r="D35" s="0" t="inlineStr">
        <is>
          <t>2026/04/03</t>
        </is>
      </c>
      <c r="E35" s="0" t="inlineStr">
        <is>
          <t>上班</t>
        </is>
      </c>
      <c r="F35" s="0" t="inlineStr">
        <is>
          <t>香港晚班</t>
        </is>
      </c>
      <c r="G35" s="0" t="inlineStr">
        <is>
          <t>16:00</t>
        </is>
      </c>
      <c r="H35" s="0" t="inlineStr">
        <is>
          <t>21:00</t>
        </is>
      </c>
      <c r="I35" s="0" t="n">
        <v>5</v>
      </c>
      <c r="J35" s="0" t="inlineStr">
        <is>
          <t>16:00</t>
        </is>
      </c>
      <c r="K35" s="0" t="inlineStr">
        <is>
          <t>21:00</t>
        </is>
      </c>
      <c r="L35" s="0" t="inlineStr">
        <is>
          <t>否</t>
        </is>
      </c>
    </row>
    <row r="36">
      <c r="A36" s="0" t="inlineStr">
        <is>
          <t>香港專櫃課</t>
        </is>
      </c>
      <c r="B36" s="0" t="inlineStr">
        <is>
          <t>P0026</t>
        </is>
      </c>
      <c r="C36" s="0" t="inlineStr">
        <is>
          <t>李芷彤</t>
        </is>
      </c>
      <c r="D36" s="0" t="inlineStr">
        <is>
          <t>2026/04/04</t>
        </is>
      </c>
      <c r="E36" s="0" t="inlineStr">
        <is>
          <t>上班</t>
        </is>
      </c>
      <c r="F36" s="0" t="inlineStr">
        <is>
          <t>特殊晚班</t>
        </is>
      </c>
      <c r="G36" s="0" t="inlineStr">
        <is>
          <t>14:30</t>
        </is>
      </c>
      <c r="H36" s="0" t="inlineStr">
        <is>
          <t>19:30</t>
        </is>
      </c>
      <c r="I36" s="0" t="n">
        <v>5</v>
      </c>
      <c r="J36" s="0" t="inlineStr">
        <is>
          <t>14:30</t>
        </is>
      </c>
      <c r="K36" s="0" t="inlineStr">
        <is>
          <t>19:30</t>
        </is>
      </c>
      <c r="L36" s="0" t="inlineStr">
        <is>
          <t>否</t>
        </is>
      </c>
    </row>
    <row r="37">
      <c r="A37" s="0" t="inlineStr">
        <is>
          <t>香港專櫃課</t>
        </is>
      </c>
      <c r="B37" s="0" t="inlineStr">
        <is>
          <t>P0026</t>
        </is>
      </c>
      <c r="C37" s="0" t="inlineStr">
        <is>
          <t>李芷彤</t>
        </is>
      </c>
      <c r="D37" s="0" t="inlineStr">
        <is>
          <t>2026/04/05</t>
        </is>
      </c>
      <c r="E37" s="0" t="inlineStr">
        <is>
          <t>月休</t>
        </is>
      </c>
      <c r="I37" s="0" t="n">
        <v>0</v>
      </c>
    </row>
    <row r="38">
      <c r="A38" s="0" t="inlineStr">
        <is>
          <t>香港專櫃課</t>
        </is>
      </c>
      <c r="B38" s="0" t="inlineStr">
        <is>
          <t>P0026</t>
        </is>
      </c>
      <c r="C38" s="0" t="inlineStr">
        <is>
          <t>李芷彤</t>
        </is>
      </c>
      <c r="D38" s="0" t="inlineStr">
        <is>
          <t>2026/04/06</t>
        </is>
      </c>
      <c r="E38" s="0" t="inlineStr">
        <is>
          <t>國定假日</t>
        </is>
      </c>
      <c r="I38" s="0" t="n">
        <v>0</v>
      </c>
    </row>
    <row r="39">
      <c r="A39" s="0" t="inlineStr">
        <is>
          <t>香港專櫃課</t>
        </is>
      </c>
      <c r="B39" s="0" t="inlineStr">
        <is>
          <t>P0026</t>
        </is>
      </c>
      <c r="C39" s="0" t="inlineStr">
        <is>
          <t>李芷彤</t>
        </is>
      </c>
      <c r="D39" s="0" t="inlineStr">
        <is>
          <t>2026/04/07</t>
        </is>
      </c>
      <c r="E39" s="0" t="inlineStr">
        <is>
          <t>國定假日</t>
        </is>
      </c>
      <c r="I39" s="0" t="n">
        <v>0</v>
      </c>
    </row>
    <row r="40">
      <c r="A40" s="0" t="inlineStr">
        <is>
          <t>香港專櫃課</t>
        </is>
      </c>
      <c r="B40" s="0" t="inlineStr">
        <is>
          <t>P0026</t>
        </is>
      </c>
      <c r="C40" s="0" t="inlineStr">
        <is>
          <t>李芷彤</t>
        </is>
      </c>
      <c r="D40" s="0" t="inlineStr">
        <is>
          <t>2026/04/08</t>
        </is>
      </c>
      <c r="E40" s="0" t="inlineStr">
        <is>
          <t>月休</t>
        </is>
      </c>
      <c r="I40" s="0" t="n">
        <v>0</v>
      </c>
    </row>
    <row r="41">
      <c r="A41" s="0" t="inlineStr">
        <is>
          <t>香港專櫃課</t>
        </is>
      </c>
      <c r="B41" s="0" t="inlineStr">
        <is>
          <t>P0026</t>
        </is>
      </c>
      <c r="C41" s="0" t="inlineStr">
        <is>
          <t>李芷彤</t>
        </is>
      </c>
      <c r="D41" s="0" t="inlineStr">
        <is>
          <t>2026/04/09</t>
        </is>
      </c>
      <c r="E41" s="0" t="inlineStr">
        <is>
          <t>月休</t>
        </is>
      </c>
      <c r="I41" s="0" t="n">
        <v>0</v>
      </c>
    </row>
    <row r="42">
      <c r="A42" s="0" t="inlineStr">
        <is>
          <t>香港專櫃課</t>
        </is>
      </c>
      <c r="B42" s="0" t="inlineStr">
        <is>
          <t>P0026</t>
        </is>
      </c>
      <c r="C42" s="0" t="inlineStr">
        <is>
          <t>李芷彤</t>
        </is>
      </c>
      <c r="D42" s="0" t="inlineStr">
        <is>
          <t>2026/04/10</t>
        </is>
      </c>
      <c r="E42" s="0" t="inlineStr">
        <is>
          <t>月休</t>
        </is>
      </c>
      <c r="I42" s="0" t="n">
        <v>0</v>
      </c>
    </row>
    <row r="43">
      <c r="A43" s="0" t="inlineStr">
        <is>
          <t>香港專櫃課</t>
        </is>
      </c>
      <c r="B43" s="0" t="inlineStr">
        <is>
          <t>P0026</t>
        </is>
      </c>
      <c r="C43" s="0" t="inlineStr">
        <is>
          <t>李芷彤</t>
        </is>
      </c>
      <c r="D43" s="0" t="inlineStr">
        <is>
          <t>2026/04/11</t>
        </is>
      </c>
      <c r="E43" s="0" t="inlineStr">
        <is>
          <t>月休</t>
        </is>
      </c>
      <c r="I43" s="0" t="n">
        <v>0</v>
      </c>
    </row>
    <row r="44">
      <c r="A44" s="0" t="inlineStr">
        <is>
          <t>香港專櫃課</t>
        </is>
      </c>
      <c r="B44" s="0" t="inlineStr">
        <is>
          <t>P0026</t>
        </is>
      </c>
      <c r="C44" s="0" t="inlineStr">
        <is>
          <t>李芷彤</t>
        </is>
      </c>
      <c r="D44" s="0" t="inlineStr">
        <is>
          <t>2026/04/12</t>
        </is>
      </c>
      <c r="E44" s="0" t="inlineStr">
        <is>
          <t>月休</t>
        </is>
      </c>
      <c r="I44" s="0" t="n">
        <v>0</v>
      </c>
    </row>
    <row r="45">
      <c r="A45" s="0" t="inlineStr">
        <is>
          <t>香港專櫃課</t>
        </is>
      </c>
      <c r="B45" s="0" t="inlineStr">
        <is>
          <t>P0026</t>
        </is>
      </c>
      <c r="C45" s="0" t="inlineStr">
        <is>
          <t>李芷彤</t>
        </is>
      </c>
      <c r="D45" s="0" t="inlineStr">
        <is>
          <t>2026/04/13</t>
        </is>
      </c>
      <c r="E45" s="0" t="inlineStr">
        <is>
          <t>月休</t>
        </is>
      </c>
      <c r="I45" s="0" t="n">
        <v>0</v>
      </c>
    </row>
    <row r="46">
      <c r="A46" s="0" t="inlineStr">
        <is>
          <t>香港專櫃課</t>
        </is>
      </c>
      <c r="B46" s="0" t="inlineStr">
        <is>
          <t>P0026</t>
        </is>
      </c>
      <c r="C46" s="0" t="inlineStr">
        <is>
          <t>李芷彤</t>
        </is>
      </c>
      <c r="D46" s="0" t="inlineStr">
        <is>
          <t>2026/04/14</t>
        </is>
      </c>
      <c r="E46" s="0" t="inlineStr">
        <is>
          <t>上班</t>
        </is>
      </c>
      <c r="F46" s="0" t="inlineStr">
        <is>
          <t>香港晚班</t>
        </is>
      </c>
      <c r="G46" s="0" t="inlineStr">
        <is>
          <t>16:00</t>
        </is>
      </c>
      <c r="H46" s="0" t="inlineStr">
        <is>
          <t>21:00</t>
        </is>
      </c>
      <c r="I46" s="0" t="n">
        <v>5</v>
      </c>
      <c r="J46" s="0" t="inlineStr">
        <is>
          <t>16:00</t>
        </is>
      </c>
      <c r="K46" s="0" t="inlineStr">
        <is>
          <t>21:00</t>
        </is>
      </c>
      <c r="L46" s="0" t="inlineStr">
        <is>
          <t>否</t>
        </is>
      </c>
    </row>
    <row r="47">
      <c r="A47" s="0" t="inlineStr">
        <is>
          <t>香港專櫃課</t>
        </is>
      </c>
      <c r="B47" s="0" t="inlineStr">
        <is>
          <t>P0026</t>
        </is>
      </c>
      <c r="C47" s="0" t="inlineStr">
        <is>
          <t>李芷彤</t>
        </is>
      </c>
      <c r="D47" s="0" t="inlineStr">
        <is>
          <t>2026/04/15</t>
        </is>
      </c>
      <c r="E47" s="0" t="inlineStr">
        <is>
          <t>上班</t>
        </is>
      </c>
      <c r="F47" s="0" t="inlineStr">
        <is>
          <t>香港晚班</t>
        </is>
      </c>
      <c r="G47" s="0" t="inlineStr">
        <is>
          <t>16:00</t>
        </is>
      </c>
      <c r="H47" s="0" t="inlineStr">
        <is>
          <t>21:00</t>
        </is>
      </c>
      <c r="I47" s="0" t="n">
        <v>5</v>
      </c>
      <c r="J47" s="0" t="inlineStr">
        <is>
          <t>16:00</t>
        </is>
      </c>
      <c r="K47" s="0" t="inlineStr">
        <is>
          <t>21:00</t>
        </is>
      </c>
      <c r="L47" s="0" t="inlineStr">
        <is>
          <t>否</t>
        </is>
      </c>
    </row>
    <row r="48">
      <c r="A48" s="0" t="inlineStr">
        <is>
          <t>香港專櫃課</t>
        </is>
      </c>
      <c r="B48" s="0" t="inlineStr">
        <is>
          <t>P0026</t>
        </is>
      </c>
      <c r="C48" s="0" t="inlineStr">
        <is>
          <t>李芷彤</t>
        </is>
      </c>
      <c r="D48" s="0" t="inlineStr">
        <is>
          <t>2026/04/16</t>
        </is>
      </c>
      <c r="E48" s="0" t="inlineStr">
        <is>
          <t>上班</t>
        </is>
      </c>
      <c r="F48" s="0" t="inlineStr">
        <is>
          <t>香港晚班</t>
        </is>
      </c>
      <c r="G48" s="0" t="inlineStr">
        <is>
          <t>16:00</t>
        </is>
      </c>
      <c r="H48" s="0" t="inlineStr">
        <is>
          <t>21:00</t>
        </is>
      </c>
      <c r="I48" s="0" t="n">
        <v>5</v>
      </c>
      <c r="J48" s="0" t="inlineStr">
        <is>
          <t>16:00</t>
        </is>
      </c>
      <c r="K48" s="0" t="inlineStr">
        <is>
          <t>21:00</t>
        </is>
      </c>
      <c r="L48" s="0" t="inlineStr">
        <is>
          <t>否</t>
        </is>
      </c>
    </row>
    <row r="49">
      <c r="A49" s="0" t="inlineStr">
        <is>
          <t>香港專櫃課</t>
        </is>
      </c>
      <c r="B49" s="0" t="inlineStr">
        <is>
          <t>P0026</t>
        </is>
      </c>
      <c r="C49" s="0" t="inlineStr">
        <is>
          <t>李芷彤</t>
        </is>
      </c>
      <c r="D49" s="0" t="inlineStr">
        <is>
          <t>2026/04/17</t>
        </is>
      </c>
      <c r="E49" s="0" t="inlineStr">
        <is>
          <t>上班</t>
        </is>
      </c>
      <c r="F49" s="0" t="inlineStr">
        <is>
          <t>香港晚班</t>
        </is>
      </c>
      <c r="G49" s="0" t="inlineStr">
        <is>
          <t>16:00</t>
        </is>
      </c>
      <c r="H49" s="0" t="inlineStr">
        <is>
          <t>21:00</t>
        </is>
      </c>
      <c r="I49" s="0" t="n">
        <v>5</v>
      </c>
      <c r="J49" s="0" t="inlineStr">
        <is>
          <t>16:00</t>
        </is>
      </c>
      <c r="K49" s="0" t="inlineStr">
        <is>
          <t>21:00</t>
        </is>
      </c>
      <c r="L49" s="0" t="inlineStr">
        <is>
          <t>否</t>
        </is>
      </c>
    </row>
    <row r="50">
      <c r="A50" s="0" t="inlineStr">
        <is>
          <t>香港專櫃課</t>
        </is>
      </c>
      <c r="B50" s="0" t="inlineStr">
        <is>
          <t>P0026</t>
        </is>
      </c>
      <c r="C50" s="0" t="inlineStr">
        <is>
          <t>李芷彤</t>
        </is>
      </c>
      <c r="D50" s="0" t="inlineStr">
        <is>
          <t>2026/04/18</t>
        </is>
      </c>
      <c r="E50" s="0" t="inlineStr">
        <is>
          <t>上班</t>
        </is>
      </c>
      <c r="F50" s="0" t="inlineStr">
        <is>
          <t>香港晚班</t>
        </is>
      </c>
      <c r="G50" s="0" t="inlineStr">
        <is>
          <t>16:00</t>
        </is>
      </c>
      <c r="H50" s="0" t="inlineStr">
        <is>
          <t>21:00</t>
        </is>
      </c>
      <c r="I50" s="0" t="n">
        <v>5</v>
      </c>
      <c r="J50" s="0" t="inlineStr">
        <is>
          <t>16:00</t>
        </is>
      </c>
      <c r="K50" s="0" t="inlineStr">
        <is>
          <t>21:00</t>
        </is>
      </c>
      <c r="L50" s="0" t="inlineStr">
        <is>
          <t>否</t>
        </is>
      </c>
    </row>
    <row r="51">
      <c r="A51" s="0" t="inlineStr">
        <is>
          <t>香港專櫃課</t>
        </is>
      </c>
      <c r="B51" s="0" t="inlineStr">
        <is>
          <t>P0026</t>
        </is>
      </c>
      <c r="C51" s="0" t="inlineStr">
        <is>
          <t>李芷彤</t>
        </is>
      </c>
      <c r="D51" s="0" t="inlineStr">
        <is>
          <t>2026/04/19</t>
        </is>
      </c>
      <c r="E51" s="0" t="inlineStr">
        <is>
          <t>月休</t>
        </is>
      </c>
      <c r="I51" s="0" t="n">
        <v>0</v>
      </c>
    </row>
    <row r="52">
      <c r="A52" s="0" t="inlineStr">
        <is>
          <t>香港專櫃課</t>
        </is>
      </c>
      <c r="B52" s="0" t="inlineStr">
        <is>
          <t>P0026</t>
        </is>
      </c>
      <c r="C52" s="0" t="inlineStr">
        <is>
          <t>李芷彤</t>
        </is>
      </c>
      <c r="D52" s="0" t="inlineStr">
        <is>
          <t>2026/04/20</t>
        </is>
      </c>
      <c r="E52" s="0" t="inlineStr">
        <is>
          <t>上班</t>
        </is>
      </c>
      <c r="F52" s="0" t="inlineStr">
        <is>
          <t>香港早班</t>
        </is>
      </c>
      <c r="G52" s="0" t="inlineStr">
        <is>
          <t>10:30</t>
        </is>
      </c>
      <c r="H52" s="0" t="inlineStr">
        <is>
          <t>16:30</t>
        </is>
      </c>
      <c r="I52" s="0" t="n">
        <v>6</v>
      </c>
      <c r="J52" s="0" t="inlineStr">
        <is>
          <t>10:30</t>
        </is>
      </c>
      <c r="K52" s="0" t="inlineStr">
        <is>
          <t>16:30</t>
        </is>
      </c>
      <c r="L52" s="0" t="inlineStr">
        <is>
          <t>否</t>
        </is>
      </c>
    </row>
    <row r="53">
      <c r="A53" s="0" t="inlineStr">
        <is>
          <t>香港專櫃課</t>
        </is>
      </c>
      <c r="B53" s="0" t="inlineStr">
        <is>
          <t>P0026</t>
        </is>
      </c>
      <c r="C53" s="0" t="inlineStr">
        <is>
          <t>李芷彤</t>
        </is>
      </c>
      <c r="D53" s="0" t="inlineStr">
        <is>
          <t>2026/04/21</t>
        </is>
      </c>
      <c r="E53" s="0" t="inlineStr">
        <is>
          <t>月休</t>
        </is>
      </c>
      <c r="I53" s="0" t="n">
        <v>0</v>
      </c>
    </row>
    <row r="54">
      <c r="A54" s="0" t="inlineStr">
        <is>
          <t>香港專櫃課</t>
        </is>
      </c>
      <c r="B54" s="0" t="inlineStr">
        <is>
          <t>P0026</t>
        </is>
      </c>
      <c r="C54" s="0" t="inlineStr">
        <is>
          <t>李芷彤</t>
        </is>
      </c>
      <c r="D54" s="0" t="inlineStr">
        <is>
          <t>2026/04/22</t>
        </is>
      </c>
      <c r="E54" s="0" t="inlineStr">
        <is>
          <t>月休</t>
        </is>
      </c>
      <c r="I54" s="0" t="n">
        <v>0</v>
      </c>
    </row>
    <row r="55">
      <c r="A55" s="0" t="inlineStr">
        <is>
          <t>香港專櫃課</t>
        </is>
      </c>
      <c r="B55" s="0" t="inlineStr">
        <is>
          <t>P0026</t>
        </is>
      </c>
      <c r="C55" s="0" t="inlineStr">
        <is>
          <t>李芷彤</t>
        </is>
      </c>
      <c r="D55" s="0" t="inlineStr">
        <is>
          <t>2026/04/23</t>
        </is>
      </c>
      <c r="E55" s="0" t="inlineStr">
        <is>
          <t>上班</t>
        </is>
      </c>
      <c r="F55" s="0" t="inlineStr">
        <is>
          <t>香港晚班</t>
        </is>
      </c>
      <c r="G55" s="0" t="inlineStr">
        <is>
          <t>16:00</t>
        </is>
      </c>
      <c r="H55" s="0" t="inlineStr">
        <is>
          <t>21:00</t>
        </is>
      </c>
      <c r="I55" s="0" t="n">
        <v>5</v>
      </c>
      <c r="J55" s="0" t="inlineStr">
        <is>
          <t>16:00</t>
        </is>
      </c>
      <c r="K55" s="0" t="inlineStr">
        <is>
          <t>21:00</t>
        </is>
      </c>
      <c r="L55" s="0" t="inlineStr">
        <is>
          <t>否</t>
        </is>
      </c>
    </row>
    <row r="56">
      <c r="A56" s="0" t="inlineStr">
        <is>
          <t>香港專櫃課</t>
        </is>
      </c>
      <c r="B56" s="0" t="inlineStr">
        <is>
          <t>P0026</t>
        </is>
      </c>
      <c r="C56" s="0" t="inlineStr">
        <is>
          <t>李芷彤</t>
        </is>
      </c>
      <c r="D56" s="0" t="inlineStr">
        <is>
          <t>2026/04/24</t>
        </is>
      </c>
      <c r="E56" s="0" t="inlineStr">
        <is>
          <t>上班</t>
        </is>
      </c>
      <c r="F56" s="0" t="inlineStr">
        <is>
          <t>香港早班</t>
        </is>
      </c>
      <c r="G56" s="0" t="inlineStr">
        <is>
          <t>10:30</t>
        </is>
      </c>
      <c r="H56" s="0" t="inlineStr">
        <is>
          <t>16:30</t>
        </is>
      </c>
      <c r="I56" s="0" t="n">
        <v>6</v>
      </c>
      <c r="J56" s="0" t="inlineStr">
        <is>
          <t>10:30</t>
        </is>
      </c>
      <c r="K56" s="0" t="inlineStr">
        <is>
          <t>16:30</t>
        </is>
      </c>
      <c r="L56" s="0" t="inlineStr">
        <is>
          <t>否</t>
        </is>
      </c>
    </row>
    <row r="57">
      <c r="A57" s="0" t="inlineStr">
        <is>
          <t>香港專櫃課</t>
        </is>
      </c>
      <c r="B57" s="0" t="inlineStr">
        <is>
          <t>P0026</t>
        </is>
      </c>
      <c r="C57" s="0" t="inlineStr">
        <is>
          <t>李芷彤</t>
        </is>
      </c>
      <c r="D57" s="0" t="inlineStr">
        <is>
          <t>2026/04/25</t>
        </is>
      </c>
      <c r="E57" s="0" t="inlineStr">
        <is>
          <t>上班</t>
        </is>
      </c>
      <c r="F57" s="0" t="inlineStr">
        <is>
          <t>香港早班</t>
        </is>
      </c>
      <c r="G57" s="0" t="inlineStr">
        <is>
          <t>10:30</t>
        </is>
      </c>
      <c r="H57" s="0" t="inlineStr">
        <is>
          <t>16:30</t>
        </is>
      </c>
      <c r="I57" s="0" t="n">
        <v>6</v>
      </c>
      <c r="J57" s="0" t="inlineStr">
        <is>
          <t>10:30</t>
        </is>
      </c>
      <c r="K57" s="0" t="inlineStr">
        <is>
          <t>16:30</t>
        </is>
      </c>
      <c r="L57" s="0" t="inlineStr">
        <is>
          <t>否</t>
        </is>
      </c>
    </row>
    <row r="58">
      <c r="A58" s="0" t="inlineStr">
        <is>
          <t>香港專櫃課</t>
        </is>
      </c>
      <c r="B58" s="0" t="inlineStr">
        <is>
          <t>P0026</t>
        </is>
      </c>
      <c r="C58" s="0" t="inlineStr">
        <is>
          <t>李芷彤</t>
        </is>
      </c>
      <c r="D58" s="0" t="inlineStr">
        <is>
          <t>2026/04/26</t>
        </is>
      </c>
      <c r="E58" s="0" t="inlineStr">
        <is>
          <t>上班</t>
        </is>
      </c>
      <c r="F58" s="0" t="inlineStr">
        <is>
          <t>香港晚班</t>
        </is>
      </c>
      <c r="G58" s="0" t="inlineStr">
        <is>
          <t>16:00</t>
        </is>
      </c>
      <c r="H58" s="0" t="inlineStr">
        <is>
          <t>21:00</t>
        </is>
      </c>
      <c r="I58" s="0" t="n">
        <v>5</v>
      </c>
      <c r="J58" s="0" t="inlineStr">
        <is>
          <t>16:00</t>
        </is>
      </c>
      <c r="K58" s="0" t="inlineStr">
        <is>
          <t>21:00</t>
        </is>
      </c>
      <c r="L58" s="0" t="inlineStr">
        <is>
          <t>否</t>
        </is>
      </c>
    </row>
    <row r="59">
      <c r="A59" s="0" t="inlineStr">
        <is>
          <t>香港專櫃課</t>
        </is>
      </c>
      <c r="B59" s="0" t="inlineStr">
        <is>
          <t>P0026</t>
        </is>
      </c>
      <c r="C59" s="0" t="inlineStr">
        <is>
          <t>李芷彤</t>
        </is>
      </c>
      <c r="D59" s="0" t="inlineStr">
        <is>
          <t>2026/04/27</t>
        </is>
      </c>
      <c r="E59" s="0" t="inlineStr">
        <is>
          <t>月休</t>
        </is>
      </c>
      <c r="I59" s="0" t="n">
        <v>0</v>
      </c>
    </row>
    <row r="60">
      <c r="A60" s="0" t="inlineStr">
        <is>
          <t>香港專櫃課</t>
        </is>
      </c>
      <c r="B60" s="0" t="inlineStr">
        <is>
          <t>P0026</t>
        </is>
      </c>
      <c r="C60" s="0" t="inlineStr">
        <is>
          <t>李芷彤</t>
        </is>
      </c>
      <c r="D60" s="0" t="inlineStr">
        <is>
          <t>2026/04/28</t>
        </is>
      </c>
      <c r="E60" s="0" t="inlineStr">
        <is>
          <t>月休</t>
        </is>
      </c>
      <c r="I60" s="0" t="n">
        <v>0</v>
      </c>
    </row>
    <row r="61">
      <c r="A61" s="0" t="inlineStr">
        <is>
          <t>香港專櫃課</t>
        </is>
      </c>
      <c r="B61" s="0" t="inlineStr">
        <is>
          <t>P0026</t>
        </is>
      </c>
      <c r="C61" s="0" t="inlineStr">
        <is>
          <t>李芷彤</t>
        </is>
      </c>
      <c r="D61" s="0" t="inlineStr">
        <is>
          <t>2026/04/29</t>
        </is>
      </c>
      <c r="E61" s="0" t="inlineStr">
        <is>
          <t>月休</t>
        </is>
      </c>
      <c r="I61" s="0" t="n">
        <v>0</v>
      </c>
    </row>
    <row r="62">
      <c r="A62" s="0" t="inlineStr">
        <is>
          <t>香港專櫃課</t>
        </is>
      </c>
      <c r="B62" s="0" t="inlineStr">
        <is>
          <t>P0026</t>
        </is>
      </c>
      <c r="C62" s="0" t="inlineStr">
        <is>
          <t>李芷彤</t>
        </is>
      </c>
      <c r="D62" s="0" t="inlineStr">
        <is>
          <t>2026/04/30</t>
        </is>
      </c>
      <c r="E62" s="0" t="inlineStr">
        <is>
          <t>上班</t>
        </is>
      </c>
      <c r="F62" s="0" t="inlineStr">
        <is>
          <t>香港ALL班</t>
        </is>
      </c>
      <c r="G62" s="0" t="inlineStr">
        <is>
          <t>10:30</t>
        </is>
      </c>
      <c r="H62" s="0" t="inlineStr">
        <is>
          <t>21:00</t>
        </is>
      </c>
      <c r="I62" s="0" t="n">
        <v>10.5</v>
      </c>
      <c r="J62" s="0" t="inlineStr">
        <is>
          <t>10:30</t>
        </is>
      </c>
      <c r="K62" s="0" t="inlineStr">
        <is>
          <t>21:00</t>
        </is>
      </c>
      <c r="L62" s="0" t="inlineStr">
        <is>
          <t>否</t>
        </is>
      </c>
    </row>
    <row r="63">
      <c r="A63" s="0" t="inlineStr">
        <is>
          <t>香港專櫃課</t>
        </is>
      </c>
      <c r="B63" s="0" t="inlineStr">
        <is>
          <t>P0026</t>
        </is>
      </c>
      <c r="C63" s="0" t="inlineStr">
        <is>
          <t>李芷彤</t>
        </is>
      </c>
      <c r="D63" s="0" t="inlineStr">
        <is>
          <t>2026/05/01</t>
        </is>
      </c>
      <c r="E63" s="0" t="inlineStr">
        <is>
          <t>國定假日</t>
        </is>
      </c>
      <c r="I63" s="0" t="n">
        <v>0</v>
      </c>
    </row>
    <row r="64">
      <c r="A64" s="0" t="inlineStr">
        <is>
          <t>香港專櫃課</t>
        </is>
      </c>
      <c r="B64" s="0" t="inlineStr">
        <is>
          <t>P0026</t>
        </is>
      </c>
      <c r="C64" s="0" t="inlineStr">
        <is>
          <t>李芷彤</t>
        </is>
      </c>
      <c r="D64" s="0" t="inlineStr">
        <is>
          <t>2026/05/02</t>
        </is>
      </c>
      <c r="E64" s="0" t="inlineStr">
        <is>
          <t>月休</t>
        </is>
      </c>
      <c r="I64" s="0" t="n">
        <v>0</v>
      </c>
    </row>
    <row r="65">
      <c r="A65" s="0" t="inlineStr">
        <is>
          <t>香港專櫃課</t>
        </is>
      </c>
      <c r="B65" s="0" t="inlineStr">
        <is>
          <t>P0026</t>
        </is>
      </c>
      <c r="C65" s="0" t="inlineStr">
        <is>
          <t>李芷彤</t>
        </is>
      </c>
      <c r="D65" s="0" t="inlineStr">
        <is>
          <t>2026/05/03</t>
        </is>
      </c>
      <c r="I65" s="0" t="n">
        <v>0</v>
      </c>
    </row>
    <row r="66">
      <c r="A66" s="0" t="inlineStr">
        <is>
          <t>香港專櫃課</t>
        </is>
      </c>
      <c r="B66" s="0" t="inlineStr">
        <is>
          <t>P0026</t>
        </is>
      </c>
      <c r="C66" s="0" t="inlineStr">
        <is>
          <t>李芷彤</t>
        </is>
      </c>
      <c r="D66" s="0" t="inlineStr">
        <is>
          <t>2026/05/04</t>
        </is>
      </c>
      <c r="E66" s="0" t="inlineStr">
        <is>
          <t>上班</t>
        </is>
      </c>
      <c r="F66" s="0" t="inlineStr">
        <is>
          <t>香港ALL班</t>
        </is>
      </c>
      <c r="G66" s="0" t="inlineStr">
        <is>
          <t>10:30</t>
        </is>
      </c>
      <c r="H66" s="0" t="inlineStr">
        <is>
          <t>21:00</t>
        </is>
      </c>
      <c r="I66" s="0" t="n">
        <v>10.5</v>
      </c>
      <c r="J66" s="0" t="inlineStr">
        <is>
          <t>10:30</t>
        </is>
      </c>
      <c r="K66" s="0" t="inlineStr">
        <is>
          <t>21:00</t>
        </is>
      </c>
      <c r="L66" s="0" t="inlineStr">
        <is>
          <t>否</t>
        </is>
      </c>
    </row>
    <row r="67">
      <c r="A67" s="0" t="inlineStr">
        <is>
          <t>香港專櫃課</t>
        </is>
      </c>
      <c r="B67" s="0" t="inlineStr">
        <is>
          <t>P0026</t>
        </is>
      </c>
      <c r="C67" s="0" t="inlineStr">
        <is>
          <t>李芷彤</t>
        </is>
      </c>
      <c r="D67" s="0" t="inlineStr">
        <is>
          <t>2026/05/05</t>
        </is>
      </c>
      <c r="E67" s="0" t="inlineStr">
        <is>
          <t>上班</t>
        </is>
      </c>
      <c r="F67" s="0" t="inlineStr">
        <is>
          <t>香港早班</t>
        </is>
      </c>
      <c r="G67" s="0" t="inlineStr">
        <is>
          <t>10:30</t>
        </is>
      </c>
      <c r="H67" s="0" t="inlineStr">
        <is>
          <t>16:30</t>
        </is>
      </c>
      <c r="I67" s="0" t="n">
        <v>6</v>
      </c>
      <c r="J67" s="0" t="inlineStr">
        <is>
          <t>10:30</t>
        </is>
      </c>
      <c r="K67" s="0" t="inlineStr">
        <is>
          <t>16:30</t>
        </is>
      </c>
      <c r="L67" s="0" t="inlineStr">
        <is>
          <t>否</t>
        </is>
      </c>
    </row>
    <row r="68">
      <c r="A68" s="0" t="inlineStr">
        <is>
          <t>香港專櫃課</t>
        </is>
      </c>
      <c r="B68" s="0" t="inlineStr">
        <is>
          <t>P0026</t>
        </is>
      </c>
      <c r="C68" s="0" t="inlineStr">
        <is>
          <t>李芷彤</t>
        </is>
      </c>
      <c r="D68" s="0" t="inlineStr">
        <is>
          <t>2026/05/06</t>
        </is>
      </c>
      <c r="I68" s="0" t="n">
        <v>0</v>
      </c>
    </row>
    <row r="69">
      <c r="A69" s="0" t="inlineStr">
        <is>
          <t>香港專櫃課</t>
        </is>
      </c>
      <c r="B69" s="0" t="inlineStr">
        <is>
          <t>P0026</t>
        </is>
      </c>
      <c r="C69" s="0" t="inlineStr">
        <is>
          <t>李芷彤</t>
        </is>
      </c>
      <c r="D69" s="0" t="inlineStr">
        <is>
          <t>2026/05/07</t>
        </is>
      </c>
      <c r="I69" s="0" t="n">
        <v>0</v>
      </c>
    </row>
    <row r="70">
      <c r="A70" s="0" t="inlineStr">
        <is>
          <t>香港專櫃課</t>
        </is>
      </c>
      <c r="B70" s="0" t="inlineStr">
        <is>
          <t>P0026</t>
        </is>
      </c>
      <c r="C70" s="0" t="inlineStr">
        <is>
          <t>李芷彤</t>
        </is>
      </c>
      <c r="D70" s="0" t="inlineStr">
        <is>
          <t>2026/05/08</t>
        </is>
      </c>
      <c r="E70" s="0" t="inlineStr">
        <is>
          <t>上班</t>
        </is>
      </c>
      <c r="F70" s="0" t="inlineStr">
        <is>
          <t>香港晚班</t>
        </is>
      </c>
      <c r="G70" s="0" t="inlineStr">
        <is>
          <t>16:00</t>
        </is>
      </c>
      <c r="H70" s="0" t="inlineStr">
        <is>
          <t>21:00</t>
        </is>
      </c>
      <c r="I70" s="0" t="n">
        <v>5</v>
      </c>
      <c r="J70" s="0" t="inlineStr">
        <is>
          <t>16:00</t>
        </is>
      </c>
      <c r="K70" s="0" t="inlineStr">
        <is>
          <t>21:00</t>
        </is>
      </c>
      <c r="L70" s="0" t="inlineStr">
        <is>
          <t>否</t>
        </is>
      </c>
    </row>
    <row r="71">
      <c r="A71" s="0" t="inlineStr">
        <is>
          <t>香港專櫃課</t>
        </is>
      </c>
      <c r="B71" s="0" t="inlineStr">
        <is>
          <t>P0026</t>
        </is>
      </c>
      <c r="C71" s="0" t="inlineStr">
        <is>
          <t>李芷彤</t>
        </is>
      </c>
      <c r="D71" s="0" t="inlineStr">
        <is>
          <t>2026/05/09</t>
        </is>
      </c>
      <c r="E71" s="0" t="inlineStr">
        <is>
          <t>上班</t>
        </is>
      </c>
      <c r="F71" s="0" t="inlineStr">
        <is>
          <t>香港晚班</t>
        </is>
      </c>
      <c r="G71" s="0" t="inlineStr">
        <is>
          <t>16:00</t>
        </is>
      </c>
      <c r="H71" s="0" t="inlineStr">
        <is>
          <t>21:00</t>
        </is>
      </c>
      <c r="I71" s="0" t="n">
        <v>5</v>
      </c>
      <c r="J71" s="0" t="inlineStr">
        <is>
          <t>16:00</t>
        </is>
      </c>
      <c r="K71" s="0" t="inlineStr">
        <is>
          <t>21:00</t>
        </is>
      </c>
      <c r="L71" s="0" t="inlineStr">
        <is>
          <t>否</t>
        </is>
      </c>
    </row>
    <row r="72">
      <c r="A72" s="0" t="inlineStr">
        <is>
          <t>香港專櫃課</t>
        </is>
      </c>
      <c r="B72" s="0" t="inlineStr">
        <is>
          <t>P0026</t>
        </is>
      </c>
      <c r="C72" s="0" t="inlineStr">
        <is>
          <t>李芷彤</t>
        </is>
      </c>
      <c r="D72" s="0" t="inlineStr">
        <is>
          <t>2026/05/10</t>
        </is>
      </c>
      <c r="E72" s="0" t="inlineStr">
        <is>
          <t>上班</t>
        </is>
      </c>
      <c r="F72" s="0" t="inlineStr">
        <is>
          <t>特殊晚班</t>
        </is>
      </c>
      <c r="G72" s="0" t="inlineStr">
        <is>
          <t>14:30</t>
        </is>
      </c>
      <c r="H72" s="0" t="inlineStr">
        <is>
          <t>19:30</t>
        </is>
      </c>
      <c r="I72" s="0" t="n">
        <v>5</v>
      </c>
      <c r="J72" s="0" t="inlineStr">
        <is>
          <t>14:30</t>
        </is>
      </c>
      <c r="K72" s="0" t="inlineStr">
        <is>
          <t>19:30</t>
        </is>
      </c>
      <c r="L72" s="0" t="inlineStr">
        <is>
          <t>否</t>
        </is>
      </c>
    </row>
    <row r="73">
      <c r="A73" s="0" t="inlineStr">
        <is>
          <t>香港專櫃課</t>
        </is>
      </c>
      <c r="B73" s="0" t="inlineStr">
        <is>
          <t>P0026</t>
        </is>
      </c>
      <c r="C73" s="0" t="inlineStr">
        <is>
          <t>李芷彤</t>
        </is>
      </c>
      <c r="D73" s="0" t="inlineStr">
        <is>
          <t>2026/05/11</t>
        </is>
      </c>
      <c r="E73" s="0" t="inlineStr">
        <is>
          <t>上班</t>
        </is>
      </c>
      <c r="F73" s="0" t="inlineStr">
        <is>
          <t>香港早班</t>
        </is>
      </c>
      <c r="G73" s="0" t="inlineStr">
        <is>
          <t>10:30</t>
        </is>
      </c>
      <c r="H73" s="0" t="inlineStr">
        <is>
          <t>16:30</t>
        </is>
      </c>
      <c r="I73" s="0" t="n">
        <v>6</v>
      </c>
      <c r="J73" s="0" t="inlineStr">
        <is>
          <t>10:30</t>
        </is>
      </c>
      <c r="K73" s="0" t="inlineStr">
        <is>
          <t>16:30</t>
        </is>
      </c>
      <c r="L73" s="0" t="inlineStr">
        <is>
          <t>否</t>
        </is>
      </c>
    </row>
    <row r="74">
      <c r="A74" s="0" t="inlineStr">
        <is>
          <t>香港專櫃課</t>
        </is>
      </c>
      <c r="B74" s="0" t="inlineStr">
        <is>
          <t>P0026</t>
        </is>
      </c>
      <c r="C74" s="0" t="inlineStr">
        <is>
          <t>李芷彤</t>
        </is>
      </c>
      <c r="D74" s="0" t="inlineStr">
        <is>
          <t>2026/05/12</t>
        </is>
      </c>
      <c r="E74" s="0" t="inlineStr">
        <is>
          <t>上班</t>
        </is>
      </c>
      <c r="F74" s="0" t="inlineStr">
        <is>
          <t>香港ALL班</t>
        </is>
      </c>
      <c r="G74" s="0" t="inlineStr">
        <is>
          <t>10:30</t>
        </is>
      </c>
      <c r="H74" s="0" t="inlineStr">
        <is>
          <t>21:00</t>
        </is>
      </c>
      <c r="I74" s="0" t="n">
        <v>10.5</v>
      </c>
      <c r="J74" s="0" t="inlineStr">
        <is>
          <t>10:30</t>
        </is>
      </c>
      <c r="K74" s="0" t="inlineStr">
        <is>
          <t>21:00</t>
        </is>
      </c>
      <c r="L74" s="0" t="inlineStr">
        <is>
          <t>否</t>
        </is>
      </c>
    </row>
    <row r="75">
      <c r="A75" s="0" t="inlineStr">
        <is>
          <t>香港專櫃課</t>
        </is>
      </c>
      <c r="B75" s="0" t="inlineStr">
        <is>
          <t>P0026</t>
        </is>
      </c>
      <c r="C75" s="0" t="inlineStr">
        <is>
          <t>李芷彤</t>
        </is>
      </c>
      <c r="D75" s="0" t="inlineStr">
        <is>
          <t>2026/05/13</t>
        </is>
      </c>
      <c r="E75" s="0" t="inlineStr">
        <is>
          <t>上班</t>
        </is>
      </c>
      <c r="F75" s="0" t="inlineStr">
        <is>
          <t>香港晚班</t>
        </is>
      </c>
      <c r="G75" s="0" t="inlineStr">
        <is>
          <t>16:00</t>
        </is>
      </c>
      <c r="H75" s="0" t="inlineStr">
        <is>
          <t>21:00</t>
        </is>
      </c>
      <c r="I75" s="0" t="n">
        <v>5</v>
      </c>
      <c r="J75" s="0" t="inlineStr">
        <is>
          <t>16:00</t>
        </is>
      </c>
      <c r="K75" s="0" t="inlineStr">
        <is>
          <t>21:00</t>
        </is>
      </c>
      <c r="L75" s="0" t="inlineStr">
        <is>
          <t>否</t>
        </is>
      </c>
    </row>
    <row r="76">
      <c r="A76" s="0" t="inlineStr">
        <is>
          <t>香港專櫃課</t>
        </is>
      </c>
      <c r="B76" s="0" t="inlineStr">
        <is>
          <t>P0026</t>
        </is>
      </c>
      <c r="C76" s="0" t="inlineStr">
        <is>
          <t>李芷彤</t>
        </is>
      </c>
      <c r="D76" s="0" t="inlineStr">
        <is>
          <t>2026/05/14</t>
        </is>
      </c>
      <c r="E76" s="0" t="inlineStr">
        <is>
          <t>月休</t>
        </is>
      </c>
      <c r="I76" s="0" t="n">
        <v>0</v>
      </c>
    </row>
    <row r="77">
      <c r="A77" s="0" t="inlineStr">
        <is>
          <t>香港專櫃課</t>
        </is>
      </c>
      <c r="B77" s="0" t="inlineStr">
        <is>
          <t>P0026</t>
        </is>
      </c>
      <c r="C77" s="0" t="inlineStr">
        <is>
          <t>李芷彤</t>
        </is>
      </c>
      <c r="D77" s="0" t="inlineStr">
        <is>
          <t>2026/05/15</t>
        </is>
      </c>
      <c r="E77" s="0" t="inlineStr">
        <is>
          <t>上班</t>
        </is>
      </c>
      <c r="F77" s="0" t="inlineStr">
        <is>
          <t>香港晚班</t>
        </is>
      </c>
      <c r="G77" s="0" t="inlineStr">
        <is>
          <t>16:00</t>
        </is>
      </c>
      <c r="H77" s="0" t="inlineStr">
        <is>
          <t>21:00</t>
        </is>
      </c>
      <c r="I77" s="0" t="n">
        <v>5</v>
      </c>
      <c r="J77" s="0" t="inlineStr">
        <is>
          <t>16:00</t>
        </is>
      </c>
      <c r="K77" s="0" t="inlineStr">
        <is>
          <t>21:00</t>
        </is>
      </c>
      <c r="L77" s="0" t="inlineStr">
        <is>
          <t>否</t>
        </is>
      </c>
    </row>
    <row r="78">
      <c r="A78" s="0" t="inlineStr">
        <is>
          <t>香港專櫃課</t>
        </is>
      </c>
      <c r="B78" s="0" t="inlineStr">
        <is>
          <t>P0026</t>
        </is>
      </c>
      <c r="C78" s="0" t="inlineStr">
        <is>
          <t>李芷彤</t>
        </is>
      </c>
      <c r="D78" s="0" t="inlineStr">
        <is>
          <t>2026/05/16</t>
        </is>
      </c>
      <c r="E78" s="0" t="inlineStr">
        <is>
          <t>上班</t>
        </is>
      </c>
      <c r="F78" s="0" t="inlineStr">
        <is>
          <t>特殊晚班</t>
        </is>
      </c>
      <c r="G78" s="0" t="inlineStr">
        <is>
          <t>14:30</t>
        </is>
      </c>
      <c r="H78" s="0" t="inlineStr">
        <is>
          <t>19:30</t>
        </is>
      </c>
      <c r="I78" s="0" t="n">
        <v>5</v>
      </c>
      <c r="J78" s="0" t="inlineStr">
        <is>
          <t>14:30</t>
        </is>
      </c>
      <c r="K78" s="0" t="inlineStr">
        <is>
          <t>19:30</t>
        </is>
      </c>
      <c r="L78" s="0" t="inlineStr">
        <is>
          <t>否</t>
        </is>
      </c>
    </row>
    <row r="79">
      <c r="A79" s="0" t="inlineStr">
        <is>
          <t>香港專櫃課</t>
        </is>
      </c>
      <c r="B79" s="0" t="inlineStr">
        <is>
          <t>P0026</t>
        </is>
      </c>
      <c r="C79" s="0" t="inlineStr">
        <is>
          <t>李芷彤</t>
        </is>
      </c>
      <c r="D79" s="0" t="inlineStr">
        <is>
          <t>2026/05/17</t>
        </is>
      </c>
      <c r="I79" s="0" t="n">
        <v>0</v>
      </c>
    </row>
    <row r="80">
      <c r="A80" s="0" t="inlineStr">
        <is>
          <t>香港專櫃課</t>
        </is>
      </c>
      <c r="B80" s="0" t="inlineStr">
        <is>
          <t>P0026</t>
        </is>
      </c>
      <c r="C80" s="0" t="inlineStr">
        <is>
          <t>李芷彤</t>
        </is>
      </c>
      <c r="D80" s="0" t="inlineStr">
        <is>
          <t>2026/05/18</t>
        </is>
      </c>
      <c r="E80" s="0" t="inlineStr">
        <is>
          <t>上班</t>
        </is>
      </c>
      <c r="F80" s="0" t="inlineStr">
        <is>
          <t>香港晚班</t>
        </is>
      </c>
      <c r="G80" s="0" t="inlineStr">
        <is>
          <t>16:00</t>
        </is>
      </c>
      <c r="H80" s="0" t="inlineStr">
        <is>
          <t>21:00</t>
        </is>
      </c>
      <c r="I80" s="0" t="n">
        <v>5</v>
      </c>
      <c r="J80" s="0" t="inlineStr">
        <is>
          <t>16:00</t>
        </is>
      </c>
      <c r="K80" s="0" t="inlineStr">
        <is>
          <t>21:00</t>
        </is>
      </c>
      <c r="L80" s="0" t="inlineStr">
        <is>
          <t>否</t>
        </is>
      </c>
    </row>
    <row r="81">
      <c r="A81" s="0" t="inlineStr">
        <is>
          <t>香港專櫃課</t>
        </is>
      </c>
      <c r="B81" s="0" t="inlineStr">
        <is>
          <t>P0026</t>
        </is>
      </c>
      <c r="C81" s="0" t="inlineStr">
        <is>
          <t>李芷彤</t>
        </is>
      </c>
      <c r="D81" s="0" t="inlineStr">
        <is>
          <t>2026/05/19</t>
        </is>
      </c>
      <c r="I81" s="0" t="n">
        <v>0</v>
      </c>
    </row>
    <row r="82">
      <c r="A82" s="0" t="inlineStr">
        <is>
          <t>香港專櫃課</t>
        </is>
      </c>
      <c r="B82" s="0" t="inlineStr">
        <is>
          <t>P0026</t>
        </is>
      </c>
      <c r="C82" s="0" t="inlineStr">
        <is>
          <t>李芷彤</t>
        </is>
      </c>
      <c r="D82" s="0" t="inlineStr">
        <is>
          <t>2026/05/20</t>
        </is>
      </c>
      <c r="E82" s="0" t="inlineStr">
        <is>
          <t>月休</t>
        </is>
      </c>
      <c r="I82" s="0" t="n">
        <v>0</v>
      </c>
    </row>
    <row r="83">
      <c r="A83" s="0" t="inlineStr">
        <is>
          <t>香港專櫃課</t>
        </is>
      </c>
      <c r="B83" s="0" t="inlineStr">
        <is>
          <t>P0026</t>
        </is>
      </c>
      <c r="C83" s="0" t="inlineStr">
        <is>
          <t>李芷彤</t>
        </is>
      </c>
      <c r="D83" s="0" t="inlineStr">
        <is>
          <t>2026/05/21</t>
        </is>
      </c>
      <c r="I83" s="0" t="n">
        <v>0</v>
      </c>
    </row>
    <row r="84">
      <c r="A84" s="0" t="inlineStr">
        <is>
          <t>香港專櫃課</t>
        </is>
      </c>
      <c r="B84" s="0" t="inlineStr">
        <is>
          <t>P0026</t>
        </is>
      </c>
      <c r="C84" s="0" t="inlineStr">
        <is>
          <t>李芷彤</t>
        </is>
      </c>
      <c r="D84" s="0" t="inlineStr">
        <is>
          <t>2026/05/22</t>
        </is>
      </c>
      <c r="E84" s="0" t="inlineStr">
        <is>
          <t>上班</t>
        </is>
      </c>
      <c r="F84" s="0" t="inlineStr">
        <is>
          <t>特殊晚班</t>
        </is>
      </c>
      <c r="G84" s="0" t="inlineStr">
        <is>
          <t>14:30</t>
        </is>
      </c>
      <c r="H84" s="0" t="inlineStr">
        <is>
          <t>19:30</t>
        </is>
      </c>
      <c r="I84" s="0" t="n">
        <v>5</v>
      </c>
      <c r="J84" s="0" t="inlineStr">
        <is>
          <t>14:30</t>
        </is>
      </c>
      <c r="K84" s="0" t="inlineStr">
        <is>
          <t>19:30</t>
        </is>
      </c>
      <c r="L84" s="0" t="inlineStr">
        <is>
          <t>否</t>
        </is>
      </c>
    </row>
    <row r="85">
      <c r="A85" s="0" t="inlineStr">
        <is>
          <t>香港專櫃課</t>
        </is>
      </c>
      <c r="B85" s="0" t="inlineStr">
        <is>
          <t>P0026</t>
        </is>
      </c>
      <c r="C85" s="0" t="inlineStr">
        <is>
          <t>李芷彤</t>
        </is>
      </c>
      <c r="D85" s="0" t="inlineStr">
        <is>
          <t>2026/05/23</t>
        </is>
      </c>
      <c r="I85" s="0" t="n">
        <v>0</v>
      </c>
    </row>
    <row r="86">
      <c r="A86" s="0" t="inlineStr">
        <is>
          <t>香港專櫃課</t>
        </is>
      </c>
      <c r="B86" s="0" t="inlineStr">
        <is>
          <t>P0026</t>
        </is>
      </c>
      <c r="C86" s="0" t="inlineStr">
        <is>
          <t>李芷彤</t>
        </is>
      </c>
      <c r="D86" s="0" t="inlineStr">
        <is>
          <t>2026/05/24</t>
        </is>
      </c>
      <c r="I86" s="0" t="n">
        <v>0</v>
      </c>
    </row>
    <row r="87">
      <c r="A87" s="0" t="inlineStr">
        <is>
          <t>香港專櫃課</t>
        </is>
      </c>
      <c r="B87" s="0" t="inlineStr">
        <is>
          <t>P0026</t>
        </is>
      </c>
      <c r="C87" s="0" t="inlineStr">
        <is>
          <t>李芷彤</t>
        </is>
      </c>
      <c r="D87" s="0" t="inlineStr">
        <is>
          <t>2026/05/25</t>
        </is>
      </c>
      <c r="E87" s="0" t="inlineStr">
        <is>
          <t>上班</t>
        </is>
      </c>
      <c r="F87" s="0" t="inlineStr">
        <is>
          <t>香港晚班</t>
        </is>
      </c>
      <c r="G87" s="0" t="inlineStr">
        <is>
          <t>16:00</t>
        </is>
      </c>
      <c r="H87" s="0" t="inlineStr">
        <is>
          <t>21:00</t>
        </is>
      </c>
      <c r="I87" s="0" t="n">
        <v>5</v>
      </c>
      <c r="J87" s="0" t="inlineStr">
        <is>
          <t>16:00</t>
        </is>
      </c>
      <c r="K87" s="0" t="inlineStr">
        <is>
          <t>21:00</t>
        </is>
      </c>
      <c r="L87" s="0" t="inlineStr">
        <is>
          <t>否</t>
        </is>
      </c>
    </row>
    <row r="88">
      <c r="A88" s="0" t="inlineStr">
        <is>
          <t>香港專櫃課</t>
        </is>
      </c>
      <c r="B88" s="0" t="inlineStr">
        <is>
          <t>P0026</t>
        </is>
      </c>
      <c r="C88" s="0" t="inlineStr">
        <is>
          <t>李芷彤</t>
        </is>
      </c>
      <c r="D88" s="0" t="inlineStr">
        <is>
          <t>2026/05/26</t>
        </is>
      </c>
      <c r="I88" s="0" t="n">
        <v>0</v>
      </c>
    </row>
    <row r="89">
      <c r="A89" s="0" t="inlineStr">
        <is>
          <t>香港專櫃課</t>
        </is>
      </c>
      <c r="B89" s="0" t="inlineStr">
        <is>
          <t>P0026</t>
        </is>
      </c>
      <c r="C89" s="0" t="inlineStr">
        <is>
          <t>李芷彤</t>
        </is>
      </c>
      <c r="D89" s="0" t="inlineStr">
        <is>
          <t>2026/05/27</t>
        </is>
      </c>
      <c r="I89" s="0" t="n">
        <v>0</v>
      </c>
    </row>
    <row r="90">
      <c r="A90" s="0" t="inlineStr">
        <is>
          <t>香港專櫃課</t>
        </is>
      </c>
      <c r="B90" s="0" t="inlineStr">
        <is>
          <t>P0026</t>
        </is>
      </c>
      <c r="C90" s="0" t="inlineStr">
        <is>
          <t>李芷彤</t>
        </is>
      </c>
      <c r="D90" s="0" t="inlineStr">
        <is>
          <t>2026/05/28</t>
        </is>
      </c>
      <c r="E90" s="0" t="inlineStr">
        <is>
          <t>上班</t>
        </is>
      </c>
      <c r="F90" s="0" t="inlineStr">
        <is>
          <t>香港晚班</t>
        </is>
      </c>
      <c r="G90" s="0" t="inlineStr">
        <is>
          <t>16:00</t>
        </is>
      </c>
      <c r="H90" s="0" t="inlineStr">
        <is>
          <t>21:00</t>
        </is>
      </c>
      <c r="I90" s="0" t="n">
        <v>5</v>
      </c>
      <c r="J90" s="0" t="inlineStr">
        <is>
          <t>16:00</t>
        </is>
      </c>
      <c r="K90" s="0" t="inlineStr">
        <is>
          <t>21:00</t>
        </is>
      </c>
      <c r="L90" s="0" t="inlineStr">
        <is>
          <t>否</t>
        </is>
      </c>
    </row>
    <row r="91">
      <c r="A91" s="0" t="inlineStr">
        <is>
          <t>香港專櫃課</t>
        </is>
      </c>
      <c r="B91" s="0" t="inlineStr">
        <is>
          <t>P0026</t>
        </is>
      </c>
      <c r="C91" s="0" t="inlineStr">
        <is>
          <t>李芷彤</t>
        </is>
      </c>
      <c r="D91" s="0" t="inlineStr">
        <is>
          <t>2026/05/29</t>
        </is>
      </c>
      <c r="E91" s="0" t="inlineStr">
        <is>
          <t>上班</t>
        </is>
      </c>
      <c r="F91" s="0" t="inlineStr">
        <is>
          <t>特殊晚班</t>
        </is>
      </c>
      <c r="G91" s="0" t="inlineStr">
        <is>
          <t>14:30</t>
        </is>
      </c>
      <c r="H91" s="0" t="inlineStr">
        <is>
          <t>19:30</t>
        </is>
      </c>
      <c r="I91" s="0" t="n">
        <v>5</v>
      </c>
      <c r="J91" s="0" t="inlineStr">
        <is>
          <t>14:30</t>
        </is>
      </c>
      <c r="K91" s="0" t="inlineStr">
        <is>
          <t>19:30</t>
        </is>
      </c>
      <c r="L91" s="0" t="inlineStr">
        <is>
          <t>否</t>
        </is>
      </c>
    </row>
    <row r="92">
      <c r="A92" s="0" t="inlineStr">
        <is>
          <t>香港專櫃課</t>
        </is>
      </c>
      <c r="B92" s="0" t="inlineStr">
        <is>
          <t>P0026</t>
        </is>
      </c>
      <c r="C92" s="0" t="inlineStr">
        <is>
          <t>李芷彤</t>
        </is>
      </c>
      <c r="D92" s="0" t="inlineStr">
        <is>
          <t>2026/05/30</t>
        </is>
      </c>
      <c r="E92" s="0" t="inlineStr">
        <is>
          <t>上班</t>
        </is>
      </c>
      <c r="F92" s="0" t="inlineStr">
        <is>
          <t>特殊晚班</t>
        </is>
      </c>
      <c r="G92" s="0" t="inlineStr">
        <is>
          <t>14:30</t>
        </is>
      </c>
      <c r="H92" s="0" t="inlineStr">
        <is>
          <t>19:30</t>
        </is>
      </c>
      <c r="I92" s="0" t="n">
        <v>5</v>
      </c>
      <c r="J92" s="0" t="inlineStr">
        <is>
          <t>14:30</t>
        </is>
      </c>
      <c r="K92" s="0" t="inlineStr">
        <is>
          <t>19:30</t>
        </is>
      </c>
      <c r="L92" s="0" t="inlineStr">
        <is>
          <t>否</t>
        </is>
      </c>
    </row>
    <row r="93">
      <c r="A93" s="0" t="inlineStr">
        <is>
          <t>香港專櫃課</t>
        </is>
      </c>
      <c r="B93" s="0" t="inlineStr">
        <is>
          <t>P0026</t>
        </is>
      </c>
      <c r="C93" s="0" t="inlineStr">
        <is>
          <t>李芷彤</t>
        </is>
      </c>
      <c r="D93" s="0" t="inlineStr">
        <is>
          <t>2026/05/31</t>
        </is>
      </c>
      <c r="I93" s="0" t="n">
        <v>0</v>
      </c>
    </row>
    <row r="94">
      <c r="A94" s="0" t="inlineStr">
        <is>
          <t>香港專櫃課</t>
        </is>
      </c>
      <c r="B94" s="0" t="inlineStr">
        <is>
          <t>P0026</t>
        </is>
      </c>
      <c r="C94" s="0" t="inlineStr">
        <is>
          <t>李芷彤</t>
        </is>
      </c>
      <c r="D94" s="0" t="inlineStr">
        <is>
          <t>2026/06/01</t>
        </is>
      </c>
      <c r="E94" s="0" t="inlineStr">
        <is>
          <t>上班</t>
        </is>
      </c>
      <c r="F94" s="0" t="inlineStr">
        <is>
          <t>香港ALL班</t>
        </is>
      </c>
      <c r="G94" s="0" t="inlineStr">
        <is>
          <t>10:30</t>
        </is>
      </c>
      <c r="H94" s="0" t="inlineStr">
        <is>
          <t>21:00</t>
        </is>
      </c>
      <c r="I94" s="0" t="n">
        <v>10.5</v>
      </c>
      <c r="J94" s="0" t="inlineStr">
        <is>
          <t>10:30</t>
        </is>
      </c>
      <c r="K94" s="0" t="inlineStr">
        <is>
          <t>21:00</t>
        </is>
      </c>
      <c r="L94" s="0" t="inlineStr">
        <is>
          <t>否</t>
        </is>
      </c>
    </row>
    <row r="95">
      <c r="A95" s="0" t="inlineStr">
        <is>
          <t>香港專櫃課</t>
        </is>
      </c>
      <c r="B95" s="0" t="inlineStr">
        <is>
          <t>P0026</t>
        </is>
      </c>
      <c r="C95" s="0" t="inlineStr">
        <is>
          <t>李芷彤</t>
        </is>
      </c>
      <c r="D95" s="0" t="inlineStr">
        <is>
          <t>2026/06/02</t>
        </is>
      </c>
      <c r="I95" s="0" t="n">
        <v>0</v>
      </c>
    </row>
    <row r="96">
      <c r="A96" s="0" t="inlineStr">
        <is>
          <t>香港專櫃課</t>
        </is>
      </c>
      <c r="B96" s="0" t="inlineStr">
        <is>
          <t>P0026</t>
        </is>
      </c>
      <c r="C96" s="0" t="inlineStr">
        <is>
          <t>李芷彤</t>
        </is>
      </c>
      <c r="D96" s="0" t="inlineStr">
        <is>
          <t>2026/06/03</t>
        </is>
      </c>
      <c r="E96" s="0" t="inlineStr">
        <is>
          <t>月休</t>
        </is>
      </c>
      <c r="I96" s="0" t="n">
        <v>0</v>
      </c>
    </row>
    <row r="97">
      <c r="A97" s="0" t="inlineStr">
        <is>
          <t>香港專櫃課</t>
        </is>
      </c>
      <c r="B97" s="0" t="inlineStr">
        <is>
          <t>P0026</t>
        </is>
      </c>
      <c r="C97" s="0" t="inlineStr">
        <is>
          <t>李芷彤</t>
        </is>
      </c>
      <c r="D97" s="0" t="inlineStr">
        <is>
          <t>2026/06/04</t>
        </is>
      </c>
      <c r="E97" s="0" t="inlineStr">
        <is>
          <t>月休</t>
        </is>
      </c>
      <c r="I97" s="0" t="n">
        <v>0</v>
      </c>
    </row>
    <row r="98">
      <c r="A98" s="0" t="inlineStr">
        <is>
          <t>香港專櫃課</t>
        </is>
      </c>
      <c r="B98" s="0" t="inlineStr">
        <is>
          <t>P0026</t>
        </is>
      </c>
      <c r="C98" s="0" t="inlineStr">
        <is>
          <t>李芷彤</t>
        </is>
      </c>
      <c r="D98" s="0" t="inlineStr">
        <is>
          <t>2026/06/05</t>
        </is>
      </c>
      <c r="E98" s="0" t="inlineStr">
        <is>
          <t>月休</t>
        </is>
      </c>
      <c r="I98" s="0" t="n">
        <v>0</v>
      </c>
    </row>
    <row r="99">
      <c r="A99" s="0" t="inlineStr">
        <is>
          <t>香港專櫃課</t>
        </is>
      </c>
      <c r="B99" s="0" t="inlineStr">
        <is>
          <t>P0026</t>
        </is>
      </c>
      <c r="C99" s="0" t="inlineStr">
        <is>
          <t>李芷彤</t>
        </is>
      </c>
      <c r="D99" s="0" t="inlineStr">
        <is>
          <t>2026/06/06</t>
        </is>
      </c>
      <c r="E99" s="0" t="inlineStr">
        <is>
          <t>月休</t>
        </is>
      </c>
      <c r="I99" s="0" t="n">
        <v>0</v>
      </c>
    </row>
    <row r="100">
      <c r="A100" s="0" t="inlineStr">
        <is>
          <t>香港專櫃課</t>
        </is>
      </c>
      <c r="B100" s="0" t="inlineStr">
        <is>
          <t>P0026</t>
        </is>
      </c>
      <c r="C100" s="0" t="inlineStr">
        <is>
          <t>李芷彤</t>
        </is>
      </c>
      <c r="D100" s="0" t="inlineStr">
        <is>
          <t>2026/06/07</t>
        </is>
      </c>
      <c r="E100" s="0" t="inlineStr">
        <is>
          <t>月休</t>
        </is>
      </c>
      <c r="I100" s="0" t="n">
        <v>0</v>
      </c>
    </row>
    <row r="101">
      <c r="A101" s="0" t="inlineStr">
        <is>
          <t>香港專櫃課</t>
        </is>
      </c>
      <c r="B101" s="0" t="inlineStr">
        <is>
          <t>P0026</t>
        </is>
      </c>
      <c r="C101" s="0" t="inlineStr">
        <is>
          <t>李芷彤</t>
        </is>
      </c>
      <c r="D101" s="0" t="inlineStr">
        <is>
          <t>2026/06/08</t>
        </is>
      </c>
      <c r="E101" s="0" t="inlineStr">
        <is>
          <t>月休</t>
        </is>
      </c>
      <c r="I101" s="0" t="n">
        <v>0</v>
      </c>
    </row>
    <row r="102">
      <c r="A102" s="0" t="inlineStr">
        <is>
          <t>香港專櫃課</t>
        </is>
      </c>
      <c r="B102" s="0" t="inlineStr">
        <is>
          <t>P0026</t>
        </is>
      </c>
      <c r="C102" s="0" t="inlineStr">
        <is>
          <t>李芷彤</t>
        </is>
      </c>
      <c r="D102" s="0" t="inlineStr">
        <is>
          <t>2026/06/09</t>
        </is>
      </c>
      <c r="E102" s="0" t="inlineStr">
        <is>
          <t>月休</t>
        </is>
      </c>
      <c r="I102" s="0" t="n">
        <v>0</v>
      </c>
    </row>
    <row r="103">
      <c r="A103" s="0" t="inlineStr">
        <is>
          <t>香港專櫃課</t>
        </is>
      </c>
      <c r="B103" s="0" t="inlineStr">
        <is>
          <t>P0026</t>
        </is>
      </c>
      <c r="C103" s="0" t="inlineStr">
        <is>
          <t>李芷彤</t>
        </is>
      </c>
      <c r="D103" s="0" t="inlineStr">
        <is>
          <t>2026/06/10</t>
        </is>
      </c>
      <c r="E103" s="0" t="inlineStr">
        <is>
          <t>上班</t>
        </is>
      </c>
      <c r="F103" s="0" t="inlineStr">
        <is>
          <t>香港ALL班</t>
        </is>
      </c>
      <c r="G103" s="0" t="inlineStr">
        <is>
          <t>10:30</t>
        </is>
      </c>
      <c r="H103" s="0" t="inlineStr">
        <is>
          <t>21:00</t>
        </is>
      </c>
      <c r="I103" s="0" t="n">
        <v>10.5</v>
      </c>
      <c r="J103" s="0" t="inlineStr">
        <is>
          <t>10:30</t>
        </is>
      </c>
      <c r="K103" s="0" t="inlineStr">
        <is>
          <t>21:00</t>
        </is>
      </c>
      <c r="L103" s="0" t="inlineStr">
        <is>
          <t>否</t>
        </is>
      </c>
    </row>
    <row r="104">
      <c r="A104" s="0" t="inlineStr">
        <is>
          <t>香港專櫃課</t>
        </is>
      </c>
      <c r="B104" s="0" t="inlineStr">
        <is>
          <t>P0026</t>
        </is>
      </c>
      <c r="C104" s="0" t="inlineStr">
        <is>
          <t>李芷彤</t>
        </is>
      </c>
      <c r="D104" s="0" t="inlineStr">
        <is>
          <t>2026/06/11</t>
        </is>
      </c>
      <c r="E104" s="0" t="inlineStr">
        <is>
          <t>上班</t>
        </is>
      </c>
      <c r="F104" s="0" t="inlineStr">
        <is>
          <t>香港晚班</t>
        </is>
      </c>
      <c r="G104" s="0" t="inlineStr">
        <is>
          <t>16:00</t>
        </is>
      </c>
      <c r="H104" s="0" t="inlineStr">
        <is>
          <t>21:00</t>
        </is>
      </c>
      <c r="I104" s="0" t="n">
        <v>5</v>
      </c>
      <c r="J104" s="0" t="inlineStr">
        <is>
          <t>16:00</t>
        </is>
      </c>
      <c r="K104" s="0" t="inlineStr">
        <is>
          <t>21:00</t>
        </is>
      </c>
      <c r="L104" s="0" t="inlineStr">
        <is>
          <t>否</t>
        </is>
      </c>
    </row>
    <row r="105">
      <c r="A105" s="0" t="inlineStr">
        <is>
          <t>香港專櫃課</t>
        </is>
      </c>
      <c r="B105" s="0" t="inlineStr">
        <is>
          <t>P0026</t>
        </is>
      </c>
      <c r="C105" s="0" t="inlineStr">
        <is>
          <t>李芷彤</t>
        </is>
      </c>
      <c r="D105" s="0" t="inlineStr">
        <is>
          <t>2026/06/12</t>
        </is>
      </c>
      <c r="E105" s="0" t="inlineStr">
        <is>
          <t>月休</t>
        </is>
      </c>
      <c r="I105" s="0" t="n">
        <v>0</v>
      </c>
    </row>
    <row r="106">
      <c r="A106" s="0" t="inlineStr">
        <is>
          <t>香港專櫃課</t>
        </is>
      </c>
      <c r="B106" s="0" t="inlineStr">
        <is>
          <t>P0026</t>
        </is>
      </c>
      <c r="C106" s="0" t="inlineStr">
        <is>
          <t>李芷彤</t>
        </is>
      </c>
      <c r="D106" s="0" t="inlineStr">
        <is>
          <t>2026/06/13</t>
        </is>
      </c>
      <c r="E106" s="0" t="inlineStr">
        <is>
          <t>月休</t>
        </is>
      </c>
      <c r="I106" s="0" t="n">
        <v>0</v>
      </c>
    </row>
    <row r="107">
      <c r="A107" s="0" t="inlineStr">
        <is>
          <t>香港專櫃課</t>
        </is>
      </c>
      <c r="B107" s="0" t="inlineStr">
        <is>
          <t>P0026</t>
        </is>
      </c>
      <c r="C107" s="0" t="inlineStr">
        <is>
          <t>李芷彤</t>
        </is>
      </c>
      <c r="D107" s="0" t="inlineStr">
        <is>
          <t>2026/06/14</t>
        </is>
      </c>
      <c r="E107" s="0" t="inlineStr">
        <is>
          <t>上班</t>
        </is>
      </c>
      <c r="F107" s="0" t="inlineStr">
        <is>
          <t>特殊晚班</t>
        </is>
      </c>
      <c r="G107" s="0" t="inlineStr">
        <is>
          <t>14:30</t>
        </is>
      </c>
      <c r="H107" s="0" t="inlineStr">
        <is>
          <t>19:30</t>
        </is>
      </c>
      <c r="I107" s="0" t="n">
        <v>5</v>
      </c>
      <c r="J107" s="0" t="inlineStr">
        <is>
          <t>14:30</t>
        </is>
      </c>
      <c r="K107" s="0" t="inlineStr">
        <is>
          <t>19:30</t>
        </is>
      </c>
      <c r="L107" s="0" t="inlineStr">
        <is>
          <t>否</t>
        </is>
      </c>
    </row>
    <row r="108">
      <c r="A108" s="0" t="inlineStr">
        <is>
          <t>香港專櫃課</t>
        </is>
      </c>
      <c r="B108" s="0" t="inlineStr">
        <is>
          <t>P0026</t>
        </is>
      </c>
      <c r="C108" s="0" t="inlineStr">
        <is>
          <t>李芷彤</t>
        </is>
      </c>
      <c r="D108" s="0" t="inlineStr">
        <is>
          <t>2026/06/15</t>
        </is>
      </c>
      <c r="E108" s="0" t="inlineStr">
        <is>
          <t>上班</t>
        </is>
      </c>
      <c r="F108" s="0" t="inlineStr">
        <is>
          <t>香港晚班</t>
        </is>
      </c>
      <c r="G108" s="0" t="inlineStr">
        <is>
          <t>16:00</t>
        </is>
      </c>
      <c r="H108" s="0" t="inlineStr">
        <is>
          <t>21:00</t>
        </is>
      </c>
      <c r="I108" s="0" t="n">
        <v>5</v>
      </c>
      <c r="J108" s="0" t="inlineStr">
        <is>
          <t>16:00</t>
        </is>
      </c>
      <c r="K108" s="0" t="inlineStr">
        <is>
          <t>21:00</t>
        </is>
      </c>
      <c r="L108" s="0" t="inlineStr">
        <is>
          <t>否</t>
        </is>
      </c>
    </row>
    <row r="109">
      <c r="A109" s="0" t="inlineStr">
        <is>
          <t>香港專櫃課</t>
        </is>
      </c>
      <c r="B109" s="0" t="inlineStr">
        <is>
          <t>P0026</t>
        </is>
      </c>
      <c r="C109" s="0" t="inlineStr">
        <is>
          <t>李芷彤</t>
        </is>
      </c>
      <c r="D109" s="0" t="inlineStr">
        <is>
          <t>2026/06/16</t>
        </is>
      </c>
      <c r="E109" s="0" t="inlineStr">
        <is>
          <t>上班</t>
        </is>
      </c>
      <c r="F109" s="0" t="inlineStr">
        <is>
          <t>香港ALL班</t>
        </is>
      </c>
      <c r="G109" s="0" t="inlineStr">
        <is>
          <t>10:30</t>
        </is>
      </c>
      <c r="H109" s="0" t="inlineStr">
        <is>
          <t>21:00</t>
        </is>
      </c>
      <c r="I109" s="0" t="n">
        <v>10.5</v>
      </c>
      <c r="J109" s="0" t="inlineStr">
        <is>
          <t>10:30</t>
        </is>
      </c>
      <c r="K109" s="0" t="inlineStr">
        <is>
          <t>21:00</t>
        </is>
      </c>
      <c r="L109" s="0" t="inlineStr">
        <is>
          <t>否</t>
        </is>
      </c>
    </row>
    <row r="110">
      <c r="A110" s="0" t="inlineStr">
        <is>
          <t>香港專櫃課</t>
        </is>
      </c>
      <c r="B110" s="0" t="inlineStr">
        <is>
          <t>P0026</t>
        </is>
      </c>
      <c r="C110" s="0" t="inlineStr">
        <is>
          <t>李芷彤</t>
        </is>
      </c>
      <c r="D110" s="0" t="inlineStr">
        <is>
          <t>2026/06/17</t>
        </is>
      </c>
      <c r="E110" s="0" t="inlineStr">
        <is>
          <t>月休</t>
        </is>
      </c>
      <c r="I110" s="0" t="n">
        <v>0</v>
      </c>
    </row>
    <row r="111">
      <c r="A111" s="0" t="inlineStr">
        <is>
          <t>香港專櫃課</t>
        </is>
      </c>
      <c r="B111" s="0" t="inlineStr">
        <is>
          <t>P0026</t>
        </is>
      </c>
      <c r="C111" s="0" t="inlineStr">
        <is>
          <t>李芷彤</t>
        </is>
      </c>
      <c r="D111" s="0" t="inlineStr">
        <is>
          <t>2026/06/18</t>
        </is>
      </c>
      <c r="E111" s="0" t="inlineStr">
        <is>
          <t>上班</t>
        </is>
      </c>
      <c r="F111" s="0" t="inlineStr">
        <is>
          <t>香港晚班</t>
        </is>
      </c>
      <c r="G111" s="0" t="inlineStr">
        <is>
          <t>17:30</t>
        </is>
      </c>
      <c r="H111" s="0" t="inlineStr">
        <is>
          <t>21:00</t>
        </is>
      </c>
      <c r="I111" s="0" t="n">
        <v>3.5</v>
      </c>
      <c r="J111" s="0" t="inlineStr">
        <is>
          <t>17:30</t>
        </is>
      </c>
      <c r="K111" s="0" t="inlineStr">
        <is>
          <t>21:00</t>
        </is>
      </c>
      <c r="L111" s="0" t="inlineStr">
        <is>
          <t>否</t>
        </is>
      </c>
    </row>
    <row r="112">
      <c r="A112" s="0" t="inlineStr">
        <is>
          <t>香港專櫃課</t>
        </is>
      </c>
      <c r="B112" s="0" t="inlineStr">
        <is>
          <t>P0026</t>
        </is>
      </c>
      <c r="C112" s="0" t="inlineStr">
        <is>
          <t>李芷彤</t>
        </is>
      </c>
      <c r="D112" s="0" t="inlineStr">
        <is>
          <t>2026/06/19</t>
        </is>
      </c>
      <c r="E112" s="0" t="inlineStr">
        <is>
          <t>國定假日</t>
        </is>
      </c>
      <c r="I112" s="0" t="n">
        <v>0</v>
      </c>
    </row>
    <row r="113">
      <c r="A113" s="0" t="inlineStr">
        <is>
          <t>香港專櫃課</t>
        </is>
      </c>
      <c r="B113" s="0" t="inlineStr">
        <is>
          <t>P0026</t>
        </is>
      </c>
      <c r="C113" s="0" t="inlineStr">
        <is>
          <t>李芷彤</t>
        </is>
      </c>
      <c r="D113" s="0" t="inlineStr">
        <is>
          <t>2026/06/20</t>
        </is>
      </c>
      <c r="E113" s="0" t="inlineStr">
        <is>
          <t>月休</t>
        </is>
      </c>
      <c r="I113" s="0" t="n">
        <v>0</v>
      </c>
    </row>
    <row r="114">
      <c r="A114" s="0" t="inlineStr">
        <is>
          <t>香港專櫃課</t>
        </is>
      </c>
      <c r="B114" s="0" t="inlineStr">
        <is>
          <t>P0026</t>
        </is>
      </c>
      <c r="C114" s="0" t="inlineStr">
        <is>
          <t>李芷彤</t>
        </is>
      </c>
      <c r="D114" s="0" t="inlineStr">
        <is>
          <t>2026/06/21</t>
        </is>
      </c>
      <c r="E114" s="0" t="inlineStr">
        <is>
          <t>上班</t>
        </is>
      </c>
      <c r="F114" s="0" t="inlineStr">
        <is>
          <t>特殊晚班</t>
        </is>
      </c>
      <c r="G114" s="0" t="inlineStr">
        <is>
          <t>14:30</t>
        </is>
      </c>
      <c r="H114" s="0" t="inlineStr">
        <is>
          <t>19:30</t>
        </is>
      </c>
      <c r="I114" s="0" t="n">
        <v>5</v>
      </c>
      <c r="J114" s="0" t="inlineStr">
        <is>
          <t>14:30</t>
        </is>
      </c>
      <c r="K114" s="0" t="inlineStr">
        <is>
          <t>19:30</t>
        </is>
      </c>
      <c r="L114" s="0" t="inlineStr">
        <is>
          <t>否</t>
        </is>
      </c>
    </row>
    <row r="115">
      <c r="A115" s="0" t="inlineStr">
        <is>
          <t>香港專櫃課</t>
        </is>
      </c>
      <c r="B115" s="0" t="inlineStr">
        <is>
          <t>P0026</t>
        </is>
      </c>
      <c r="C115" s="0" t="inlineStr">
        <is>
          <t>李芷彤</t>
        </is>
      </c>
      <c r="D115" s="0" t="inlineStr">
        <is>
          <t>2026/06/22</t>
        </is>
      </c>
      <c r="E115" s="0" t="inlineStr">
        <is>
          <t>上班</t>
        </is>
      </c>
      <c r="F115" s="0" t="inlineStr">
        <is>
          <t>香港ALL班</t>
        </is>
      </c>
      <c r="G115" s="0" t="inlineStr">
        <is>
          <t>10:30</t>
        </is>
      </c>
      <c r="H115" s="0" t="inlineStr">
        <is>
          <t>21:00</t>
        </is>
      </c>
      <c r="I115" s="0" t="n">
        <v>10.5</v>
      </c>
      <c r="J115" s="0" t="inlineStr">
        <is>
          <t>10:30</t>
        </is>
      </c>
      <c r="K115" s="0" t="inlineStr">
        <is>
          <t>21:00</t>
        </is>
      </c>
      <c r="L115" s="0" t="inlineStr">
        <is>
          <t>否</t>
        </is>
      </c>
    </row>
    <row r="116">
      <c r="A116" s="0" t="inlineStr">
        <is>
          <t>香港專櫃課</t>
        </is>
      </c>
      <c r="B116" s="0" t="inlineStr">
        <is>
          <t>P0026</t>
        </is>
      </c>
      <c r="C116" s="0" t="inlineStr">
        <is>
          <t>李芷彤</t>
        </is>
      </c>
      <c r="D116" s="0" t="inlineStr">
        <is>
          <t>2026/06/23</t>
        </is>
      </c>
      <c r="E116" s="0" t="inlineStr">
        <is>
          <t>上班</t>
        </is>
      </c>
      <c r="F116" s="0" t="inlineStr">
        <is>
          <t>香港晚班</t>
        </is>
      </c>
      <c r="G116" s="0" t="inlineStr">
        <is>
          <t>16:00</t>
        </is>
      </c>
      <c r="H116" s="0" t="inlineStr">
        <is>
          <t>21:00</t>
        </is>
      </c>
      <c r="I116" s="0" t="n">
        <v>5</v>
      </c>
      <c r="J116" s="0" t="inlineStr">
        <is>
          <t>16:00</t>
        </is>
      </c>
      <c r="K116" s="0" t="inlineStr">
        <is>
          <t>21:00</t>
        </is>
      </c>
      <c r="L116" s="0" t="inlineStr">
        <is>
          <t>否</t>
        </is>
      </c>
    </row>
    <row r="117">
      <c r="A117" s="0" t="inlineStr">
        <is>
          <t>香港專櫃課</t>
        </is>
      </c>
      <c r="B117" s="0" t="inlineStr">
        <is>
          <t>P0026</t>
        </is>
      </c>
      <c r="C117" s="0" t="inlineStr">
        <is>
          <t>李芷彤</t>
        </is>
      </c>
      <c r="D117" s="0" t="inlineStr">
        <is>
          <t>2026/06/24</t>
        </is>
      </c>
      <c r="E117" s="0" t="inlineStr">
        <is>
          <t>上班</t>
        </is>
      </c>
      <c r="F117" s="0" t="inlineStr">
        <is>
          <t>香港晚班</t>
        </is>
      </c>
      <c r="G117" s="0" t="inlineStr">
        <is>
          <t>16:00</t>
        </is>
      </c>
      <c r="H117" s="0" t="inlineStr">
        <is>
          <t>21:00</t>
        </is>
      </c>
      <c r="I117" s="0" t="n">
        <v>5</v>
      </c>
      <c r="J117" s="0" t="inlineStr">
        <is>
          <t>16:00</t>
        </is>
      </c>
      <c r="K117" s="0" t="inlineStr">
        <is>
          <t>21:00</t>
        </is>
      </c>
      <c r="L117" s="0" t="inlineStr">
        <is>
          <t>否</t>
        </is>
      </c>
    </row>
    <row r="118">
      <c r="A118" s="0" t="inlineStr">
        <is>
          <t>香港專櫃課</t>
        </is>
      </c>
      <c r="B118" s="0" t="inlineStr">
        <is>
          <t>P0026</t>
        </is>
      </c>
      <c r="C118" s="0" t="inlineStr">
        <is>
          <t>李芷彤</t>
        </is>
      </c>
      <c r="D118" s="0" t="inlineStr">
        <is>
          <t>2026/06/25</t>
        </is>
      </c>
      <c r="E118" s="0" t="inlineStr">
        <is>
          <t>月休</t>
        </is>
      </c>
      <c r="I118" s="0" t="n">
        <v>0</v>
      </c>
    </row>
    <row r="119">
      <c r="A119" s="0" t="inlineStr">
        <is>
          <t>香港專櫃課</t>
        </is>
      </c>
      <c r="B119" s="0" t="inlineStr">
        <is>
          <t>P0026</t>
        </is>
      </c>
      <c r="C119" s="0" t="inlineStr">
        <is>
          <t>李芷彤</t>
        </is>
      </c>
      <c r="D119" s="0" t="inlineStr">
        <is>
          <t>2026/06/26</t>
        </is>
      </c>
      <c r="E119" s="0" t="inlineStr">
        <is>
          <t>上班</t>
        </is>
      </c>
      <c r="F119" s="0" t="inlineStr">
        <is>
          <t>香港ALL班</t>
        </is>
      </c>
      <c r="G119" s="0" t="inlineStr">
        <is>
          <t>10:30</t>
        </is>
      </c>
      <c r="H119" s="0" t="inlineStr">
        <is>
          <t>21:00</t>
        </is>
      </c>
      <c r="I119" s="0" t="n">
        <v>10.5</v>
      </c>
      <c r="J119" s="0" t="inlineStr">
        <is>
          <t>10:30</t>
        </is>
      </c>
      <c r="K119" s="0" t="inlineStr">
        <is>
          <t>21:00</t>
        </is>
      </c>
      <c r="L119" s="0" t="inlineStr">
        <is>
          <t>否</t>
        </is>
      </c>
    </row>
    <row r="120">
      <c r="A120" s="0" t="inlineStr">
        <is>
          <t>香港專櫃課</t>
        </is>
      </c>
      <c r="B120" s="0" t="inlineStr">
        <is>
          <t>P0026</t>
        </is>
      </c>
      <c r="C120" s="0" t="inlineStr">
        <is>
          <t>李芷彤</t>
        </is>
      </c>
      <c r="D120" s="0" t="inlineStr">
        <is>
          <t>2026/06/27</t>
        </is>
      </c>
      <c r="E120" s="0" t="inlineStr">
        <is>
          <t>月休</t>
        </is>
      </c>
      <c r="I120" s="0" t="n">
        <v>0</v>
      </c>
    </row>
    <row r="121">
      <c r="A121" s="0" t="inlineStr">
        <is>
          <t>香港專櫃課</t>
        </is>
      </c>
      <c r="B121" s="0" t="inlineStr">
        <is>
          <t>P0026</t>
        </is>
      </c>
      <c r="C121" s="0" t="inlineStr">
        <is>
          <t>李芷彤</t>
        </is>
      </c>
      <c r="D121" s="0" t="inlineStr">
        <is>
          <t>2026/06/28</t>
        </is>
      </c>
      <c r="I121" s="0" t="n">
        <v>0</v>
      </c>
    </row>
    <row r="122">
      <c r="A122" s="0" t="inlineStr">
        <is>
          <t>香港專櫃課</t>
        </is>
      </c>
      <c r="B122" s="0" t="inlineStr">
        <is>
          <t>P0026</t>
        </is>
      </c>
      <c r="C122" s="0" t="inlineStr">
        <is>
          <t>李芷彤</t>
        </is>
      </c>
      <c r="D122" s="0" t="inlineStr">
        <is>
          <t>2026/06/29</t>
        </is>
      </c>
      <c r="E122" s="0" t="inlineStr">
        <is>
          <t>月休</t>
        </is>
      </c>
      <c r="I122" s="0" t="n">
        <v>0</v>
      </c>
    </row>
    <row r="123">
      <c r="A123" s="0" t="inlineStr">
        <is>
          <t>香港專櫃課</t>
        </is>
      </c>
      <c r="B123" s="0" t="inlineStr">
        <is>
          <t>P0026</t>
        </is>
      </c>
      <c r="C123" s="0" t="inlineStr">
        <is>
          <t>李芷彤</t>
        </is>
      </c>
      <c r="D123" s="0" t="inlineStr">
        <is>
          <t>2026/06/30</t>
        </is>
      </c>
      <c r="E123" s="0" t="inlineStr">
        <is>
          <t>上班</t>
        </is>
      </c>
      <c r="F123" s="0" t="inlineStr">
        <is>
          <t>香港晚班</t>
        </is>
      </c>
      <c r="G123" s="0" t="inlineStr">
        <is>
          <t>16:00</t>
        </is>
      </c>
      <c r="H123" s="0" t="inlineStr">
        <is>
          <t>21:00</t>
        </is>
      </c>
      <c r="I123" s="0" t="n">
        <v>5</v>
      </c>
      <c r="J123" s="0" t="inlineStr">
        <is>
          <t>16:00</t>
        </is>
      </c>
      <c r="K123" s="0" t="inlineStr">
        <is>
          <t>21:00</t>
        </is>
      </c>
      <c r="L123" s="0" t="inlineStr">
        <is>
          <t>否</t>
        </is>
      </c>
    </row>
    <row r="124">
      <c r="A124" s="0" t="inlineStr">
        <is>
          <t>香港專櫃課</t>
        </is>
      </c>
      <c r="B124" s="0" t="inlineStr">
        <is>
          <t>P0026</t>
        </is>
      </c>
      <c r="C124" s="0" t="inlineStr">
        <is>
          <t>李芷彤</t>
        </is>
      </c>
      <c r="D124" s="0" t="inlineStr">
        <is>
          <t>2026/07/01</t>
        </is>
      </c>
      <c r="E124" s="0" t="inlineStr">
        <is>
          <t>國定假日</t>
        </is>
      </c>
      <c r="I124" s="0" t="n">
        <v>0</v>
      </c>
    </row>
    <row r="125">
      <c r="A125" s="0" t="inlineStr">
        <is>
          <t>香港專櫃課</t>
        </is>
      </c>
      <c r="B125" s="0" t="inlineStr">
        <is>
          <t>P0026</t>
        </is>
      </c>
      <c r="C125" s="0" t="inlineStr">
        <is>
          <t>李芷彤</t>
        </is>
      </c>
      <c r="D125" s="0" t="inlineStr">
        <is>
          <t>2026/07/02</t>
        </is>
      </c>
      <c r="E125" s="0" t="inlineStr">
        <is>
          <t>上班</t>
        </is>
      </c>
      <c r="F125" s="0" t="inlineStr">
        <is>
          <t>特殊晚班</t>
        </is>
      </c>
      <c r="G125" s="0" t="inlineStr">
        <is>
          <t>14:30</t>
        </is>
      </c>
      <c r="H125" s="0" t="inlineStr">
        <is>
          <t>19:30</t>
        </is>
      </c>
      <c r="I125" s="0" t="n">
        <v>5</v>
      </c>
      <c r="J125" s="0" t="inlineStr">
        <is>
          <t>14:30</t>
        </is>
      </c>
      <c r="K125" s="0" t="inlineStr">
        <is>
          <t>19:30</t>
        </is>
      </c>
      <c r="L125" s="0" t="inlineStr">
        <is>
          <t>否</t>
        </is>
      </c>
    </row>
    <row r="126">
      <c r="A126" s="0" t="inlineStr">
        <is>
          <t>香港專櫃課</t>
        </is>
      </c>
      <c r="B126" s="0" t="inlineStr">
        <is>
          <t>P0026</t>
        </is>
      </c>
      <c r="C126" s="0" t="inlineStr">
        <is>
          <t>李芷彤</t>
        </is>
      </c>
      <c r="D126" s="0" t="inlineStr">
        <is>
          <t>2026/07/03</t>
        </is>
      </c>
      <c r="I126" s="0" t="n">
        <v>0</v>
      </c>
    </row>
    <row r="127">
      <c r="A127" s="0" t="inlineStr">
        <is>
          <t>香港專櫃課</t>
        </is>
      </c>
      <c r="B127" s="0" t="inlineStr">
        <is>
          <t>P0026</t>
        </is>
      </c>
      <c r="C127" s="0" t="inlineStr">
        <is>
          <t>李芷彤</t>
        </is>
      </c>
      <c r="D127" s="0" t="inlineStr">
        <is>
          <t>2026/07/04</t>
        </is>
      </c>
      <c r="I127" s="0" t="n">
        <v>0</v>
      </c>
    </row>
    <row r="128">
      <c r="A128" s="0" t="inlineStr">
        <is>
          <t>香港專櫃課</t>
        </is>
      </c>
      <c r="B128" s="0" t="inlineStr">
        <is>
          <t>P0026</t>
        </is>
      </c>
      <c r="C128" s="0" t="inlineStr">
        <is>
          <t>李芷彤</t>
        </is>
      </c>
      <c r="D128" s="0" t="inlineStr">
        <is>
          <t>2026/07/05</t>
        </is>
      </c>
      <c r="I128" s="0" t="n">
        <v>0</v>
      </c>
    </row>
    <row r="129">
      <c r="A129" s="0" t="inlineStr">
        <is>
          <t>香港專櫃課</t>
        </is>
      </c>
      <c r="B129" s="0" t="inlineStr">
        <is>
          <t>P0026</t>
        </is>
      </c>
      <c r="C129" s="0" t="inlineStr">
        <is>
          <t>李芷彤</t>
        </is>
      </c>
      <c r="D129" s="0" t="inlineStr">
        <is>
          <t>2026/07/06</t>
        </is>
      </c>
      <c r="E129" s="0" t="inlineStr">
        <is>
          <t>上班</t>
        </is>
      </c>
      <c r="F129" s="0" t="inlineStr">
        <is>
          <t>香港早班</t>
        </is>
      </c>
      <c r="G129" s="0" t="inlineStr">
        <is>
          <t>10:30</t>
        </is>
      </c>
      <c r="H129" s="0" t="inlineStr">
        <is>
          <t>16:30</t>
        </is>
      </c>
      <c r="I129" s="0" t="n">
        <v>6</v>
      </c>
      <c r="J129" s="0" t="inlineStr">
        <is>
          <t>10:30</t>
        </is>
      </c>
      <c r="K129" s="0" t="inlineStr">
        <is>
          <t>16:30</t>
        </is>
      </c>
      <c r="L129" s="0" t="inlineStr">
        <is>
          <t>否</t>
        </is>
      </c>
    </row>
    <row r="130">
      <c r="A130" s="0" t="inlineStr">
        <is>
          <t>香港專櫃課</t>
        </is>
      </c>
      <c r="B130" s="0" t="inlineStr">
        <is>
          <t>P0026</t>
        </is>
      </c>
      <c r="C130" s="0" t="inlineStr">
        <is>
          <t>李芷彤</t>
        </is>
      </c>
      <c r="D130" s="0" t="inlineStr">
        <is>
          <t>2026/07/07</t>
        </is>
      </c>
      <c r="E130" s="0" t="inlineStr">
        <is>
          <t>上班</t>
        </is>
      </c>
      <c r="F130" s="0" t="inlineStr">
        <is>
          <t>特殊晚班</t>
        </is>
      </c>
      <c r="G130" s="0" t="inlineStr">
        <is>
          <t>14:30</t>
        </is>
      </c>
      <c r="H130" s="0" t="inlineStr">
        <is>
          <t>19:30</t>
        </is>
      </c>
      <c r="I130" s="0" t="n">
        <v>5</v>
      </c>
      <c r="J130" s="0" t="inlineStr">
        <is>
          <t>14:30</t>
        </is>
      </c>
      <c r="K130" s="0" t="inlineStr">
        <is>
          <t>19:30</t>
        </is>
      </c>
      <c r="L130" s="0" t="inlineStr">
        <is>
          <t>否</t>
        </is>
      </c>
    </row>
    <row r="131">
      <c r="A131" s="0" t="inlineStr">
        <is>
          <t>香港專櫃課</t>
        </is>
      </c>
      <c r="B131" s="0" t="inlineStr">
        <is>
          <t>P0026</t>
        </is>
      </c>
      <c r="C131" s="0" t="inlineStr">
        <is>
          <t>李芷彤</t>
        </is>
      </c>
      <c r="D131" s="0" t="inlineStr">
        <is>
          <t>2026/07/08</t>
        </is>
      </c>
      <c r="I131" s="0" t="n">
        <v>0</v>
      </c>
    </row>
    <row r="132">
      <c r="A132" s="0" t="inlineStr">
        <is>
          <t>香港專櫃課</t>
        </is>
      </c>
      <c r="B132" s="0" t="inlineStr">
        <is>
          <t>P0026</t>
        </is>
      </c>
      <c r="C132" s="0" t="inlineStr">
        <is>
          <t>李芷彤</t>
        </is>
      </c>
      <c r="D132" s="0" t="inlineStr">
        <is>
          <t>2026/07/09</t>
        </is>
      </c>
      <c r="E132" s="0" t="inlineStr">
        <is>
          <t>上班</t>
        </is>
      </c>
      <c r="F132" s="0" t="inlineStr">
        <is>
          <t>香港ALL班</t>
        </is>
      </c>
      <c r="G132" s="0" t="inlineStr">
        <is>
          <t>10:30</t>
        </is>
      </c>
      <c r="H132" s="0" t="inlineStr">
        <is>
          <t>21:00</t>
        </is>
      </c>
      <c r="I132" s="0" t="n">
        <v>10.5</v>
      </c>
      <c r="J132" s="0" t="inlineStr">
        <is>
          <t>10:30</t>
        </is>
      </c>
      <c r="K132" s="0" t="inlineStr">
        <is>
          <t>21:00</t>
        </is>
      </c>
      <c r="L132" s="0" t="inlineStr">
        <is>
          <t>否</t>
        </is>
      </c>
    </row>
    <row r="133">
      <c r="A133" s="0" t="inlineStr">
        <is>
          <t>香港專櫃課</t>
        </is>
      </c>
      <c r="B133" s="0" t="inlineStr">
        <is>
          <t>P0026</t>
        </is>
      </c>
      <c r="C133" s="0" t="inlineStr">
        <is>
          <t>李芷彤</t>
        </is>
      </c>
      <c r="D133" s="0" t="inlineStr">
        <is>
          <t>2026/07/10</t>
        </is>
      </c>
      <c r="I133" s="0" t="n">
        <v>0</v>
      </c>
    </row>
    <row r="134">
      <c r="A134" s="0" t="inlineStr">
        <is>
          <t>香港專櫃課</t>
        </is>
      </c>
      <c r="B134" s="0" t="inlineStr">
        <is>
          <t>P0026</t>
        </is>
      </c>
      <c r="C134" s="0" t="inlineStr">
        <is>
          <t>李芷彤</t>
        </is>
      </c>
      <c r="D134" s="0" t="inlineStr">
        <is>
          <t>2026/07/11</t>
        </is>
      </c>
      <c r="I134" s="0" t="n">
        <v>0</v>
      </c>
    </row>
    <row r="135">
      <c r="A135" s="0" t="inlineStr">
        <is>
          <t>香港專櫃課</t>
        </is>
      </c>
      <c r="B135" s="0" t="inlineStr">
        <is>
          <t>P0026</t>
        </is>
      </c>
      <c r="C135" s="0" t="inlineStr">
        <is>
          <t>李芷彤</t>
        </is>
      </c>
      <c r="D135" s="0" t="inlineStr">
        <is>
          <t>2026/07/12</t>
        </is>
      </c>
      <c r="I135" s="0" t="n">
        <v>0</v>
      </c>
    </row>
    <row r="136">
      <c r="A136" s="0" t="inlineStr">
        <is>
          <t>香港專櫃課</t>
        </is>
      </c>
      <c r="B136" s="0" t="inlineStr">
        <is>
          <t>P0026</t>
        </is>
      </c>
      <c r="C136" s="0" t="inlineStr">
        <is>
          <t>李芷彤</t>
        </is>
      </c>
      <c r="D136" s="0" t="inlineStr">
        <is>
          <t>2026/07/13</t>
        </is>
      </c>
      <c r="E136" s="0" t="inlineStr">
        <is>
          <t>上班</t>
        </is>
      </c>
      <c r="F136" s="0" t="inlineStr">
        <is>
          <t>香港晚班</t>
        </is>
      </c>
      <c r="G136" s="0" t="inlineStr">
        <is>
          <t>16:00</t>
        </is>
      </c>
      <c r="H136" s="0" t="inlineStr">
        <is>
          <t>21:00</t>
        </is>
      </c>
      <c r="I136" s="0" t="n">
        <v>5</v>
      </c>
      <c r="J136" s="0" t="inlineStr">
        <is>
          <t>16:00</t>
        </is>
      </c>
      <c r="K136" s="0" t="inlineStr">
        <is>
          <t>21:00</t>
        </is>
      </c>
      <c r="L136" s="0" t="inlineStr">
        <is>
          <t>否</t>
        </is>
      </c>
    </row>
    <row r="137">
      <c r="A137" s="0" t="inlineStr">
        <is>
          <t>香港專櫃課</t>
        </is>
      </c>
      <c r="B137" s="0" t="inlineStr">
        <is>
          <t>P0026</t>
        </is>
      </c>
      <c r="C137" s="0" t="inlineStr">
        <is>
          <t>李芷彤</t>
        </is>
      </c>
      <c r="D137" s="0" t="inlineStr">
        <is>
          <t>2026/07/14</t>
        </is>
      </c>
      <c r="E137" s="0" t="inlineStr">
        <is>
          <t>上班</t>
        </is>
      </c>
      <c r="F137" s="0" t="inlineStr">
        <is>
          <t>香港ALL班</t>
        </is>
      </c>
      <c r="G137" s="0" t="inlineStr">
        <is>
          <t>10:30</t>
        </is>
      </c>
      <c r="H137" s="0" t="inlineStr">
        <is>
          <t>21:00</t>
        </is>
      </c>
      <c r="I137" s="0" t="n">
        <v>10.5</v>
      </c>
      <c r="J137" s="0" t="inlineStr">
        <is>
          <t>10:30</t>
        </is>
      </c>
      <c r="K137" s="0" t="inlineStr">
        <is>
          <t>21:00</t>
        </is>
      </c>
      <c r="L137" s="0" t="inlineStr">
        <is>
          <t>否</t>
        </is>
      </c>
    </row>
    <row r="138">
      <c r="A138" s="0" t="inlineStr">
        <is>
          <t>香港專櫃課</t>
        </is>
      </c>
      <c r="B138" s="0" t="inlineStr">
        <is>
          <t>P0026</t>
        </is>
      </c>
      <c r="C138" s="0" t="inlineStr">
        <is>
          <t>李芷彤</t>
        </is>
      </c>
      <c r="D138" s="0" t="inlineStr">
        <is>
          <t>2026/07/15</t>
        </is>
      </c>
      <c r="I138" s="0" t="n">
        <v>0</v>
      </c>
    </row>
    <row r="139">
      <c r="A139" s="0" t="inlineStr">
        <is>
          <t>香港專櫃課</t>
        </is>
      </c>
      <c r="B139" s="0" t="inlineStr">
        <is>
          <t>P0026</t>
        </is>
      </c>
      <c r="C139" s="0" t="inlineStr">
        <is>
          <t>李芷彤</t>
        </is>
      </c>
      <c r="D139" s="0" t="inlineStr">
        <is>
          <t>2026/07/16</t>
        </is>
      </c>
      <c r="I139" s="0" t="n">
        <v>0</v>
      </c>
    </row>
    <row r="140">
      <c r="A140" s="0" t="inlineStr">
        <is>
          <t>香港專櫃課</t>
        </is>
      </c>
      <c r="B140" s="0" t="inlineStr">
        <is>
          <t>P0026</t>
        </is>
      </c>
      <c r="C140" s="0" t="inlineStr">
        <is>
          <t>李芷彤</t>
        </is>
      </c>
      <c r="D140" s="0" t="inlineStr">
        <is>
          <t>2026/07/17</t>
        </is>
      </c>
      <c r="I140" s="0" t="n">
        <v>0</v>
      </c>
    </row>
    <row r="141">
      <c r="A141" s="0" t="inlineStr">
        <is>
          <t>香港專櫃課</t>
        </is>
      </c>
      <c r="B141" s="0" t="inlineStr">
        <is>
          <t>P0026</t>
        </is>
      </c>
      <c r="C141" s="0" t="inlineStr">
        <is>
          <t>李芷彤</t>
        </is>
      </c>
      <c r="D141" s="0" t="inlineStr">
        <is>
          <t>2026/07/18</t>
        </is>
      </c>
      <c r="I141" s="0" t="n">
        <v>0</v>
      </c>
    </row>
    <row r="142">
      <c r="A142" s="0" t="inlineStr">
        <is>
          <t>香港專櫃課</t>
        </is>
      </c>
      <c r="B142" s="0" t="inlineStr">
        <is>
          <t>P0026</t>
        </is>
      </c>
      <c r="C142" s="0" t="inlineStr">
        <is>
          <t>李芷彤</t>
        </is>
      </c>
      <c r="D142" s="0" t="inlineStr">
        <is>
          <t>2026/07/19</t>
        </is>
      </c>
      <c r="I142" s="0" t="n">
        <v>0</v>
      </c>
    </row>
    <row r="143">
      <c r="A143" s="0" t="inlineStr">
        <is>
          <t>香港專櫃課</t>
        </is>
      </c>
      <c r="B143" s="0" t="inlineStr">
        <is>
          <t>P0026</t>
        </is>
      </c>
      <c r="C143" s="0" t="inlineStr">
        <is>
          <t>李芷彤</t>
        </is>
      </c>
      <c r="D143" s="0" t="inlineStr">
        <is>
          <t>2026/07/20</t>
        </is>
      </c>
      <c r="I143" s="0" t="n">
        <v>0</v>
      </c>
    </row>
    <row r="144">
      <c r="A144" s="0" t="inlineStr">
        <is>
          <t>香港專櫃課</t>
        </is>
      </c>
      <c r="B144" s="0" t="inlineStr">
        <is>
          <t>P0026</t>
        </is>
      </c>
      <c r="C144" s="0" t="inlineStr">
        <is>
          <t>李芷彤</t>
        </is>
      </c>
      <c r="D144" s="0" t="inlineStr">
        <is>
          <t>2026/07/21</t>
        </is>
      </c>
      <c r="I144" s="0" t="n">
        <v>0</v>
      </c>
    </row>
    <row r="145">
      <c r="A145" s="0" t="inlineStr">
        <is>
          <t>香港專櫃課</t>
        </is>
      </c>
      <c r="B145" s="0" t="inlineStr">
        <is>
          <t>P0026</t>
        </is>
      </c>
      <c r="C145" s="0" t="inlineStr">
        <is>
          <t>李芷彤</t>
        </is>
      </c>
      <c r="D145" s="0" t="inlineStr">
        <is>
          <t>2026/07/22</t>
        </is>
      </c>
      <c r="I145" s="0" t="n">
        <v>0</v>
      </c>
    </row>
    <row r="146">
      <c r="A146" s="0" t="inlineStr">
        <is>
          <t>香港專櫃課</t>
        </is>
      </c>
      <c r="B146" s="0" t="inlineStr">
        <is>
          <t>P0026</t>
        </is>
      </c>
      <c r="C146" s="0" t="inlineStr">
        <is>
          <t>李芷彤</t>
        </is>
      </c>
      <c r="D146" s="0" t="inlineStr">
        <is>
          <t>2026/07/23</t>
        </is>
      </c>
      <c r="I146" s="0" t="n">
        <v>0</v>
      </c>
    </row>
    <row r="147">
      <c r="A147" s="0" t="inlineStr">
        <is>
          <t>香港專櫃課</t>
        </is>
      </c>
      <c r="B147" s="0" t="inlineStr">
        <is>
          <t>P0026</t>
        </is>
      </c>
      <c r="C147" s="0" t="inlineStr">
        <is>
          <t>李芷彤</t>
        </is>
      </c>
      <c r="D147" s="0" t="inlineStr">
        <is>
          <t>2026/07/24</t>
        </is>
      </c>
      <c r="I147" s="0" t="n">
        <v>0</v>
      </c>
    </row>
    <row r="148">
      <c r="A148" s="0" t="inlineStr">
        <is>
          <t>香港專櫃課</t>
        </is>
      </c>
      <c r="B148" s="0" t="inlineStr">
        <is>
          <t>P0026</t>
        </is>
      </c>
      <c r="C148" s="0" t="inlineStr">
        <is>
          <t>李芷彤</t>
        </is>
      </c>
      <c r="D148" s="0" t="inlineStr">
        <is>
          <t>2026/07/25</t>
        </is>
      </c>
      <c r="I148" s="0" t="n">
        <v>0</v>
      </c>
    </row>
    <row r="149">
      <c r="A149" s="0" t="inlineStr">
        <is>
          <t>香港專櫃課</t>
        </is>
      </c>
      <c r="B149" s="0" t="inlineStr">
        <is>
          <t>P0026</t>
        </is>
      </c>
      <c r="C149" s="0" t="inlineStr">
        <is>
          <t>李芷彤</t>
        </is>
      </c>
      <c r="D149" s="0" t="inlineStr">
        <is>
          <t>2026/07/26</t>
        </is>
      </c>
      <c r="I149" s="0" t="n">
        <v>0</v>
      </c>
    </row>
    <row r="150">
      <c r="A150" s="0" t="inlineStr">
        <is>
          <t>香港專櫃課</t>
        </is>
      </c>
      <c r="B150" s="0" t="inlineStr">
        <is>
          <t>P0026</t>
        </is>
      </c>
      <c r="C150" s="0" t="inlineStr">
        <is>
          <t>李芷彤</t>
        </is>
      </c>
      <c r="D150" s="0" t="inlineStr">
        <is>
          <t>2026/07/27</t>
        </is>
      </c>
      <c r="E150" s="0" t="inlineStr">
        <is>
          <t>上班</t>
        </is>
      </c>
      <c r="F150" s="0" t="inlineStr">
        <is>
          <t>香港早班</t>
        </is>
      </c>
      <c r="G150" s="0" t="inlineStr">
        <is>
          <t>10:30</t>
        </is>
      </c>
      <c r="H150" s="0" t="inlineStr">
        <is>
          <t>16:30</t>
        </is>
      </c>
      <c r="I150" s="0" t="n">
        <v>6</v>
      </c>
      <c r="J150" s="0" t="inlineStr">
        <is>
          <t>10:30</t>
        </is>
      </c>
      <c r="K150" s="0" t="inlineStr">
        <is>
          <t>16:30</t>
        </is>
      </c>
      <c r="L150" s="0" t="inlineStr">
        <is>
          <t>否</t>
        </is>
      </c>
    </row>
    <row r="151">
      <c r="A151" s="0" t="inlineStr">
        <is>
          <t>香港專櫃課</t>
        </is>
      </c>
      <c r="B151" s="0" t="inlineStr">
        <is>
          <t>P0026</t>
        </is>
      </c>
      <c r="C151" s="0" t="inlineStr">
        <is>
          <t>李芷彤</t>
        </is>
      </c>
      <c r="D151" s="0" t="inlineStr">
        <is>
          <t>2026/07/28</t>
        </is>
      </c>
      <c r="E151" s="0" t="inlineStr">
        <is>
          <t>上班</t>
        </is>
      </c>
      <c r="F151" s="0" t="inlineStr">
        <is>
          <t>香港ALL班</t>
        </is>
      </c>
      <c r="G151" s="0" t="inlineStr">
        <is>
          <t>10:30</t>
        </is>
      </c>
      <c r="H151" s="0" t="inlineStr">
        <is>
          <t>21:00</t>
        </is>
      </c>
      <c r="I151" s="0" t="n">
        <v>10.5</v>
      </c>
      <c r="J151" s="0" t="inlineStr">
        <is>
          <t>10:30</t>
        </is>
      </c>
      <c r="K151" s="0" t="inlineStr">
        <is>
          <t>21:00</t>
        </is>
      </c>
      <c r="L151" s="0" t="inlineStr">
        <is>
          <t>否</t>
        </is>
      </c>
    </row>
    <row r="152">
      <c r="A152" s="0" t="inlineStr">
        <is>
          <t>香港專櫃課</t>
        </is>
      </c>
      <c r="B152" s="0" t="inlineStr">
        <is>
          <t>P0026</t>
        </is>
      </c>
      <c r="C152" s="0" t="inlineStr">
        <is>
          <t>李芷彤</t>
        </is>
      </c>
      <c r="D152" s="0" t="inlineStr">
        <is>
          <t>2026/07/29</t>
        </is>
      </c>
      <c r="I152" s="0" t="n">
        <v>0</v>
      </c>
    </row>
    <row r="153">
      <c r="A153" s="0" t="inlineStr">
        <is>
          <t>香港專櫃課</t>
        </is>
      </c>
      <c r="B153" s="0" t="inlineStr">
        <is>
          <t>P0026</t>
        </is>
      </c>
      <c r="C153" s="0" t="inlineStr">
        <is>
          <t>李芷彤</t>
        </is>
      </c>
      <c r="D153" s="0" t="inlineStr">
        <is>
          <t>2026/07/30</t>
        </is>
      </c>
      <c r="E153" s="0" t="inlineStr">
        <is>
          <t>上班</t>
        </is>
      </c>
      <c r="F153" s="0" t="inlineStr">
        <is>
          <t>香港ALL班</t>
        </is>
      </c>
      <c r="G153" s="0" t="inlineStr">
        <is>
          <t>10:30</t>
        </is>
      </c>
      <c r="H153" s="0" t="inlineStr">
        <is>
          <t>21:00</t>
        </is>
      </c>
      <c r="I153" s="0" t="n">
        <v>10.5</v>
      </c>
      <c r="J153" s="0" t="inlineStr">
        <is>
          <t>10:30</t>
        </is>
      </c>
      <c r="K153" s="0" t="inlineStr">
        <is>
          <t>21:00</t>
        </is>
      </c>
      <c r="L153" s="0" t="inlineStr">
        <is>
          <t>否</t>
        </is>
      </c>
    </row>
    <row r="154">
      <c r="A154" s="0" t="inlineStr">
        <is>
          <t>香港專櫃課</t>
        </is>
      </c>
      <c r="B154" s="0" t="inlineStr">
        <is>
          <t>P0026</t>
        </is>
      </c>
      <c r="C154" s="0" t="inlineStr">
        <is>
          <t>李芷彤</t>
        </is>
      </c>
      <c r="D154" s="0" t="inlineStr">
        <is>
          <t>2026/07/31</t>
        </is>
      </c>
      <c r="I154" s="0" t="n">
        <v>0</v>
      </c>
    </row>
    <row r="155">
      <c r="A155" s="0" t="inlineStr">
        <is>
          <t>香港專櫃課</t>
        </is>
      </c>
      <c r="B155" s="0" t="inlineStr">
        <is>
          <t>P0027</t>
        </is>
      </c>
      <c r="C155" s="0" t="inlineStr">
        <is>
          <t>陳詩祺</t>
        </is>
      </c>
      <c r="D155" s="0" t="inlineStr">
        <is>
          <t>2026/03/01</t>
        </is>
      </c>
      <c r="I155" s="0" t="n">
        <v>0</v>
      </c>
    </row>
    <row r="156">
      <c r="A156" s="0" t="inlineStr">
        <is>
          <t>香港專櫃課</t>
        </is>
      </c>
      <c r="B156" s="0" t="inlineStr">
        <is>
          <t>P0027</t>
        </is>
      </c>
      <c r="C156" s="0" t="inlineStr">
        <is>
          <t>陳詩祺</t>
        </is>
      </c>
      <c r="D156" s="0" t="inlineStr">
        <is>
          <t>2026/03/02</t>
        </is>
      </c>
      <c r="I156" s="0" t="n">
        <v>0</v>
      </c>
    </row>
    <row r="157">
      <c r="A157" s="0" t="inlineStr">
        <is>
          <t>香港專櫃課</t>
        </is>
      </c>
      <c r="B157" s="0" t="inlineStr">
        <is>
          <t>P0027</t>
        </is>
      </c>
      <c r="C157" s="0" t="inlineStr">
        <is>
          <t>陳詩祺</t>
        </is>
      </c>
      <c r="D157" s="0" t="inlineStr">
        <is>
          <t>2026/03/03</t>
        </is>
      </c>
      <c r="I157" s="0" t="n">
        <v>0</v>
      </c>
    </row>
    <row r="158">
      <c r="A158" s="0" t="inlineStr">
        <is>
          <t>香港專櫃課</t>
        </is>
      </c>
      <c r="B158" s="0" t="inlineStr">
        <is>
          <t>P0027</t>
        </is>
      </c>
      <c r="C158" s="0" t="inlineStr">
        <is>
          <t>陳詩祺</t>
        </is>
      </c>
      <c r="D158" s="0" t="inlineStr">
        <is>
          <t>2026/03/04</t>
        </is>
      </c>
      <c r="I158" s="0" t="n">
        <v>0</v>
      </c>
    </row>
    <row r="159">
      <c r="A159" s="0" t="inlineStr">
        <is>
          <t>香港專櫃課</t>
        </is>
      </c>
      <c r="B159" s="0" t="inlineStr">
        <is>
          <t>P0027</t>
        </is>
      </c>
      <c r="C159" s="0" t="inlineStr">
        <is>
          <t>陳詩祺</t>
        </is>
      </c>
      <c r="D159" s="0" t="inlineStr">
        <is>
          <t>2026/03/05</t>
        </is>
      </c>
      <c r="I159" s="0" t="n">
        <v>0</v>
      </c>
    </row>
    <row r="160">
      <c r="A160" s="0" t="inlineStr">
        <is>
          <t>香港專櫃課</t>
        </is>
      </c>
      <c r="B160" s="0" t="inlineStr">
        <is>
          <t>P0027</t>
        </is>
      </c>
      <c r="C160" s="0" t="inlineStr">
        <is>
          <t>陳詩祺</t>
        </is>
      </c>
      <c r="D160" s="0" t="inlineStr">
        <is>
          <t>2026/03/06</t>
        </is>
      </c>
      <c r="I160" s="0" t="n">
        <v>0</v>
      </c>
    </row>
    <row r="161">
      <c r="A161" s="0" t="inlineStr">
        <is>
          <t>香港專櫃課</t>
        </is>
      </c>
      <c r="B161" s="0" t="inlineStr">
        <is>
          <t>P0027</t>
        </is>
      </c>
      <c r="C161" s="0" t="inlineStr">
        <is>
          <t>陳詩祺</t>
        </is>
      </c>
      <c r="D161" s="0" t="inlineStr">
        <is>
          <t>2026/03/07</t>
        </is>
      </c>
      <c r="I161" s="0" t="n">
        <v>0</v>
      </c>
    </row>
    <row r="162">
      <c r="A162" s="0" t="inlineStr">
        <is>
          <t>香港專櫃課</t>
        </is>
      </c>
      <c r="B162" s="0" t="inlineStr">
        <is>
          <t>P0027</t>
        </is>
      </c>
      <c r="C162" s="0" t="inlineStr">
        <is>
          <t>陳詩祺</t>
        </is>
      </c>
      <c r="D162" s="0" t="inlineStr">
        <is>
          <t>2026/03/08</t>
        </is>
      </c>
      <c r="I162" s="0" t="n">
        <v>0</v>
      </c>
    </row>
    <row r="163">
      <c r="A163" s="0" t="inlineStr">
        <is>
          <t>香港專櫃課</t>
        </is>
      </c>
      <c r="B163" s="0" t="inlineStr">
        <is>
          <t>P0027</t>
        </is>
      </c>
      <c r="C163" s="0" t="inlineStr">
        <is>
          <t>陳詩祺</t>
        </is>
      </c>
      <c r="D163" s="0" t="inlineStr">
        <is>
          <t>2026/03/09</t>
        </is>
      </c>
      <c r="I163" s="0" t="n">
        <v>0</v>
      </c>
    </row>
    <row r="164">
      <c r="A164" s="0" t="inlineStr">
        <is>
          <t>香港專櫃課</t>
        </is>
      </c>
      <c r="B164" s="0" t="inlineStr">
        <is>
          <t>P0027</t>
        </is>
      </c>
      <c r="C164" s="0" t="inlineStr">
        <is>
          <t>陳詩祺</t>
        </is>
      </c>
      <c r="D164" s="0" t="inlineStr">
        <is>
          <t>2026/03/10</t>
        </is>
      </c>
      <c r="I164" s="0" t="n">
        <v>0</v>
      </c>
    </row>
    <row r="165">
      <c r="A165" s="0" t="inlineStr">
        <is>
          <t>香港專櫃課</t>
        </is>
      </c>
      <c r="B165" s="0" t="inlineStr">
        <is>
          <t>P0027</t>
        </is>
      </c>
      <c r="C165" s="0" t="inlineStr">
        <is>
          <t>陳詩祺</t>
        </is>
      </c>
      <c r="D165" s="0" t="inlineStr">
        <is>
          <t>2026/03/11</t>
        </is>
      </c>
      <c r="I165" s="0" t="n">
        <v>0</v>
      </c>
    </row>
    <row r="166">
      <c r="A166" s="0" t="inlineStr">
        <is>
          <t>香港專櫃課</t>
        </is>
      </c>
      <c r="B166" s="0" t="inlineStr">
        <is>
          <t>P0027</t>
        </is>
      </c>
      <c r="C166" s="0" t="inlineStr">
        <is>
          <t>陳詩祺</t>
        </is>
      </c>
      <c r="D166" s="0" t="inlineStr">
        <is>
          <t>2026/03/12</t>
        </is>
      </c>
      <c r="E166" s="0" t="inlineStr">
        <is>
          <t>上班</t>
        </is>
      </c>
      <c r="F166" s="0" t="inlineStr">
        <is>
          <t>職前訓練</t>
        </is>
      </c>
      <c r="G166" s="0" t="inlineStr">
        <is>
          <t>18:00</t>
        </is>
      </c>
      <c r="H166" s="0" t="inlineStr">
        <is>
          <t>20:00</t>
        </is>
      </c>
      <c r="I166" s="0" t="n">
        <v>2</v>
      </c>
      <c r="J166" s="0" t="inlineStr">
        <is>
          <t>18:00</t>
        </is>
      </c>
      <c r="K166" s="0" t="inlineStr">
        <is>
          <t>20:00</t>
        </is>
      </c>
      <c r="L166" s="0" t="inlineStr">
        <is>
          <t>否</t>
        </is>
      </c>
    </row>
    <row r="167">
      <c r="A167" s="0" t="inlineStr">
        <is>
          <t>香港專櫃課</t>
        </is>
      </c>
      <c r="B167" s="0" t="inlineStr">
        <is>
          <t>P0027</t>
        </is>
      </c>
      <c r="C167" s="0" t="inlineStr">
        <is>
          <t>陳詩祺</t>
        </is>
      </c>
      <c r="D167" s="0" t="inlineStr">
        <is>
          <t>2026/03/13</t>
        </is>
      </c>
      <c r="I167" s="0" t="n">
        <v>0</v>
      </c>
    </row>
    <row r="168">
      <c r="A168" s="0" t="inlineStr">
        <is>
          <t>香港專櫃課</t>
        </is>
      </c>
      <c r="B168" s="0" t="inlineStr">
        <is>
          <t>P0027</t>
        </is>
      </c>
      <c r="C168" s="0" t="inlineStr">
        <is>
          <t>陳詩祺</t>
        </is>
      </c>
      <c r="D168" s="0" t="inlineStr">
        <is>
          <t>2026/03/14</t>
        </is>
      </c>
      <c r="E168" s="0" t="inlineStr">
        <is>
          <t>上班</t>
        </is>
      </c>
      <c r="F168" s="0" t="inlineStr">
        <is>
          <t>香港晚班</t>
        </is>
      </c>
      <c r="G168" s="0" t="inlineStr">
        <is>
          <t>19:00</t>
        </is>
      </c>
      <c r="H168" s="0" t="inlineStr">
        <is>
          <t>21:00</t>
        </is>
      </c>
      <c r="I168" s="0" t="n">
        <v>2</v>
      </c>
      <c r="J168" s="0" t="inlineStr">
        <is>
          <t>19:00</t>
        </is>
      </c>
      <c r="K168" s="0" t="inlineStr">
        <is>
          <t>21:00</t>
        </is>
      </c>
      <c r="L168" s="0" t="inlineStr">
        <is>
          <t>否</t>
        </is>
      </c>
    </row>
    <row r="169">
      <c r="A169" s="0" t="inlineStr">
        <is>
          <t>香港專櫃課</t>
        </is>
      </c>
      <c r="B169" s="0" t="inlineStr">
        <is>
          <t>P0027</t>
        </is>
      </c>
      <c r="C169" s="0" t="inlineStr">
        <is>
          <t>陳詩祺</t>
        </is>
      </c>
      <c r="D169" s="0" t="inlineStr">
        <is>
          <t>2026/03/15</t>
        </is>
      </c>
      <c r="E169" s="0" t="inlineStr">
        <is>
          <t>上班</t>
        </is>
      </c>
      <c r="F169" s="0" t="inlineStr">
        <is>
          <t>職前訓練</t>
        </is>
      </c>
      <c r="G169" s="0" t="inlineStr">
        <is>
          <t>18:00</t>
        </is>
      </c>
      <c r="H169" s="0" t="inlineStr">
        <is>
          <t>20:00</t>
        </is>
      </c>
      <c r="I169" s="0" t="n">
        <v>2</v>
      </c>
      <c r="J169" s="0" t="inlineStr">
        <is>
          <t>18:00</t>
        </is>
      </c>
      <c r="K169" s="0" t="inlineStr">
        <is>
          <t>20:00</t>
        </is>
      </c>
      <c r="L169" s="0" t="inlineStr">
        <is>
          <t>否</t>
        </is>
      </c>
    </row>
    <row r="170">
      <c r="A170" s="0" t="inlineStr">
        <is>
          <t>香港專櫃課</t>
        </is>
      </c>
      <c r="B170" s="0" t="inlineStr">
        <is>
          <t>P0027</t>
        </is>
      </c>
      <c r="C170" s="0" t="inlineStr">
        <is>
          <t>陳詩祺</t>
        </is>
      </c>
      <c r="D170" s="0" t="inlineStr">
        <is>
          <t>2026/03/16</t>
        </is>
      </c>
      <c r="I170" s="0" t="n">
        <v>0</v>
      </c>
    </row>
    <row r="171">
      <c r="A171" s="0" t="inlineStr">
        <is>
          <t>香港專櫃課</t>
        </is>
      </c>
      <c r="B171" s="0" t="inlineStr">
        <is>
          <t>P0027</t>
        </is>
      </c>
      <c r="C171" s="0" t="inlineStr">
        <is>
          <t>陳詩祺</t>
        </is>
      </c>
      <c r="D171" s="0" t="inlineStr">
        <is>
          <t>2026/03/17</t>
        </is>
      </c>
      <c r="I171" s="0" t="n">
        <v>0</v>
      </c>
    </row>
    <row r="172">
      <c r="A172" s="0" t="inlineStr">
        <is>
          <t>香港專櫃課</t>
        </is>
      </c>
      <c r="B172" s="0" t="inlineStr">
        <is>
          <t>P0027</t>
        </is>
      </c>
      <c r="C172" s="0" t="inlineStr">
        <is>
          <t>陳詩祺</t>
        </is>
      </c>
      <c r="D172" s="0" t="inlineStr">
        <is>
          <t>2026/03/18</t>
        </is>
      </c>
      <c r="I172" s="0" t="n">
        <v>0</v>
      </c>
    </row>
    <row r="173">
      <c r="A173" s="0" t="inlineStr">
        <is>
          <t>香港專櫃課</t>
        </is>
      </c>
      <c r="B173" s="0" t="inlineStr">
        <is>
          <t>P0027</t>
        </is>
      </c>
      <c r="C173" s="0" t="inlineStr">
        <is>
          <t>陳詩祺</t>
        </is>
      </c>
      <c r="D173" s="0" t="inlineStr">
        <is>
          <t>2026/03/19</t>
        </is>
      </c>
      <c r="E173" s="0" t="inlineStr">
        <is>
          <t>上班</t>
        </is>
      </c>
      <c r="F173" s="0" t="inlineStr">
        <is>
          <t>特殊晚班</t>
        </is>
      </c>
      <c r="G173" s="0" t="inlineStr">
        <is>
          <t>17:00</t>
        </is>
      </c>
      <c r="H173" s="0" t="inlineStr">
        <is>
          <t>22:00</t>
        </is>
      </c>
      <c r="I173" s="0" t="n">
        <v>5</v>
      </c>
      <c r="J173" s="0" t="inlineStr">
        <is>
          <t>17:00</t>
        </is>
      </c>
      <c r="K173" s="0" t="inlineStr">
        <is>
          <t>22:00</t>
        </is>
      </c>
      <c r="L173" s="0" t="inlineStr">
        <is>
          <t>否</t>
        </is>
      </c>
    </row>
    <row r="174">
      <c r="A174" s="0" t="inlineStr">
        <is>
          <t>香港專櫃課</t>
        </is>
      </c>
      <c r="B174" s="0" t="inlineStr">
        <is>
          <t>P0027</t>
        </is>
      </c>
      <c r="C174" s="0" t="inlineStr">
        <is>
          <t>陳詩祺</t>
        </is>
      </c>
      <c r="D174" s="0" t="inlineStr">
        <is>
          <t>2026/03/20</t>
        </is>
      </c>
      <c r="E174" s="0" t="inlineStr">
        <is>
          <t>月休</t>
        </is>
      </c>
      <c r="I174" s="0" t="n">
        <v>0</v>
      </c>
    </row>
    <row r="175">
      <c r="A175" s="0" t="inlineStr">
        <is>
          <t>香港專櫃課</t>
        </is>
      </c>
      <c r="B175" s="0" t="inlineStr">
        <is>
          <t>P0027</t>
        </is>
      </c>
      <c r="C175" s="0" t="inlineStr">
        <is>
          <t>陳詩祺</t>
        </is>
      </c>
      <c r="D175" s="0" t="inlineStr">
        <is>
          <t>2026/03/21</t>
        </is>
      </c>
      <c r="E175" s="0" t="inlineStr">
        <is>
          <t>月休</t>
        </is>
      </c>
      <c r="I175" s="0" t="n">
        <v>0</v>
      </c>
    </row>
    <row r="176">
      <c r="A176" s="0" t="inlineStr">
        <is>
          <t>香港專櫃課</t>
        </is>
      </c>
      <c r="B176" s="0" t="inlineStr">
        <is>
          <t>P0027</t>
        </is>
      </c>
      <c r="C176" s="0" t="inlineStr">
        <is>
          <t>陳詩祺</t>
        </is>
      </c>
      <c r="D176" s="0" t="inlineStr">
        <is>
          <t>2026/03/22</t>
        </is>
      </c>
      <c r="E176" s="0" t="inlineStr">
        <is>
          <t>上班</t>
        </is>
      </c>
      <c r="F176" s="0" t="inlineStr">
        <is>
          <t>香港晚班</t>
        </is>
      </c>
      <c r="G176" s="0" t="inlineStr">
        <is>
          <t>16:00</t>
        </is>
      </c>
      <c r="H176" s="0" t="inlineStr">
        <is>
          <t>22:00</t>
        </is>
      </c>
      <c r="I176" s="0" t="n">
        <v>6</v>
      </c>
      <c r="J176" s="0" t="inlineStr">
        <is>
          <t>16:00</t>
        </is>
      </c>
      <c r="K176" s="0" t="inlineStr">
        <is>
          <t>22:00</t>
        </is>
      </c>
      <c r="L176" s="0" t="inlineStr">
        <is>
          <t>否</t>
        </is>
      </c>
    </row>
    <row r="177">
      <c r="A177" s="0" t="inlineStr">
        <is>
          <t>香港專櫃課</t>
        </is>
      </c>
      <c r="B177" s="0" t="inlineStr">
        <is>
          <t>P0027</t>
        </is>
      </c>
      <c r="C177" s="0" t="inlineStr">
        <is>
          <t>陳詩祺</t>
        </is>
      </c>
      <c r="D177" s="0" t="inlineStr">
        <is>
          <t>2026/03/23</t>
        </is>
      </c>
      <c r="E177" s="0" t="inlineStr">
        <is>
          <t>上班</t>
        </is>
      </c>
      <c r="F177" s="0" t="inlineStr">
        <is>
          <t>香港早班</t>
        </is>
      </c>
      <c r="G177" s="0" t="inlineStr">
        <is>
          <t>10:30</t>
        </is>
      </c>
      <c r="H177" s="0" t="inlineStr">
        <is>
          <t>16:30</t>
        </is>
      </c>
      <c r="I177" s="0" t="n">
        <v>6</v>
      </c>
      <c r="J177" s="0" t="inlineStr">
        <is>
          <t>10:30</t>
        </is>
      </c>
      <c r="K177" s="0" t="inlineStr">
        <is>
          <t>16:30</t>
        </is>
      </c>
      <c r="L177" s="0" t="inlineStr">
        <is>
          <t>否</t>
        </is>
      </c>
    </row>
    <row r="178">
      <c r="A178" s="0" t="inlineStr">
        <is>
          <t>香港專櫃課</t>
        </is>
      </c>
      <c r="B178" s="0" t="inlineStr">
        <is>
          <t>P0027</t>
        </is>
      </c>
      <c r="C178" s="0" t="inlineStr">
        <is>
          <t>陳詩祺</t>
        </is>
      </c>
      <c r="D178" s="0" t="inlineStr">
        <is>
          <t>2026/03/24</t>
        </is>
      </c>
      <c r="E178" s="0" t="inlineStr">
        <is>
          <t>月休</t>
        </is>
      </c>
      <c r="I178" s="0" t="n">
        <v>0</v>
      </c>
    </row>
    <row r="179">
      <c r="A179" s="0" t="inlineStr">
        <is>
          <t>香港專櫃課</t>
        </is>
      </c>
      <c r="B179" s="0" t="inlineStr">
        <is>
          <t>P0027</t>
        </is>
      </c>
      <c r="C179" s="0" t="inlineStr">
        <is>
          <t>陳詩祺</t>
        </is>
      </c>
      <c r="D179" s="0" t="inlineStr">
        <is>
          <t>2026/03/25</t>
        </is>
      </c>
      <c r="E179" s="0" t="inlineStr">
        <is>
          <t>月休</t>
        </is>
      </c>
      <c r="I179" s="0" t="n">
        <v>0</v>
      </c>
    </row>
    <row r="180">
      <c r="A180" s="0" t="inlineStr">
        <is>
          <t>香港專櫃課</t>
        </is>
      </c>
      <c r="B180" s="0" t="inlineStr">
        <is>
          <t>P0027</t>
        </is>
      </c>
      <c r="C180" s="0" t="inlineStr">
        <is>
          <t>陳詩祺</t>
        </is>
      </c>
      <c r="D180" s="0" t="inlineStr">
        <is>
          <t>2026/03/26</t>
        </is>
      </c>
      <c r="E180" s="0" t="inlineStr">
        <is>
          <t>月休</t>
        </is>
      </c>
      <c r="I180" s="0" t="n">
        <v>0</v>
      </c>
    </row>
    <row r="181">
      <c r="A181" s="0" t="inlineStr">
        <is>
          <t>香港專櫃課</t>
        </is>
      </c>
      <c r="B181" s="0" t="inlineStr">
        <is>
          <t>P0027</t>
        </is>
      </c>
      <c r="C181" s="0" t="inlineStr">
        <is>
          <t>陳詩祺</t>
        </is>
      </c>
      <c r="D181" s="0" t="inlineStr">
        <is>
          <t>2026/03/27</t>
        </is>
      </c>
      <c r="E181" s="0" t="inlineStr">
        <is>
          <t>月休</t>
        </is>
      </c>
      <c r="I181" s="0" t="n">
        <v>0</v>
      </c>
    </row>
    <row r="182">
      <c r="A182" s="0" t="inlineStr">
        <is>
          <t>香港專櫃課</t>
        </is>
      </c>
      <c r="B182" s="0" t="inlineStr">
        <is>
          <t>P0027</t>
        </is>
      </c>
      <c r="C182" s="0" t="inlineStr">
        <is>
          <t>陳詩祺</t>
        </is>
      </c>
      <c r="D182" s="0" t="inlineStr">
        <is>
          <t>2026/03/28</t>
        </is>
      </c>
      <c r="E182" s="0" t="inlineStr">
        <is>
          <t>月休</t>
        </is>
      </c>
      <c r="I182" s="0" t="n">
        <v>0</v>
      </c>
    </row>
    <row r="183">
      <c r="A183" s="0" t="inlineStr">
        <is>
          <t>香港專櫃課</t>
        </is>
      </c>
      <c r="B183" s="0" t="inlineStr">
        <is>
          <t>P0027</t>
        </is>
      </c>
      <c r="C183" s="0" t="inlineStr">
        <is>
          <t>陳詩祺</t>
        </is>
      </c>
      <c r="D183" s="0" t="inlineStr">
        <is>
          <t>2026/03/29</t>
        </is>
      </c>
      <c r="E183" s="0" t="inlineStr">
        <is>
          <t>上班</t>
        </is>
      </c>
      <c r="F183" s="0" t="inlineStr">
        <is>
          <t>香港早班</t>
        </is>
      </c>
      <c r="G183" s="0" t="inlineStr">
        <is>
          <t>10:30</t>
        </is>
      </c>
      <c r="H183" s="0" t="inlineStr">
        <is>
          <t>16:30</t>
        </is>
      </c>
      <c r="I183" s="0" t="n">
        <v>6</v>
      </c>
      <c r="J183" s="0" t="inlineStr">
        <is>
          <t>10:30</t>
        </is>
      </c>
      <c r="K183" s="0" t="inlineStr">
        <is>
          <t>16:30</t>
        </is>
      </c>
      <c r="L183" s="0" t="inlineStr">
        <is>
          <t>否</t>
        </is>
      </c>
    </row>
    <row r="184">
      <c r="A184" s="0" t="inlineStr">
        <is>
          <t>香港專櫃課</t>
        </is>
      </c>
      <c r="B184" s="0" t="inlineStr">
        <is>
          <t>P0027</t>
        </is>
      </c>
      <c r="C184" s="0" t="inlineStr">
        <is>
          <t>陳詩祺</t>
        </is>
      </c>
      <c r="D184" s="0" t="inlineStr">
        <is>
          <t>2026/03/30</t>
        </is>
      </c>
      <c r="E184" s="0" t="inlineStr">
        <is>
          <t>上班</t>
        </is>
      </c>
      <c r="F184" s="0" t="inlineStr">
        <is>
          <t>香港早班</t>
        </is>
      </c>
      <c r="G184" s="0" t="inlineStr">
        <is>
          <t>10:30</t>
        </is>
      </c>
      <c r="H184" s="0" t="inlineStr">
        <is>
          <t>16:30</t>
        </is>
      </c>
      <c r="I184" s="0" t="n">
        <v>6</v>
      </c>
      <c r="J184" s="0" t="inlineStr">
        <is>
          <t>10:30</t>
        </is>
      </c>
      <c r="K184" s="0" t="inlineStr">
        <is>
          <t>16:30</t>
        </is>
      </c>
      <c r="L184" s="0" t="inlineStr">
        <is>
          <t>否</t>
        </is>
      </c>
    </row>
    <row r="185">
      <c r="A185" s="0" t="inlineStr">
        <is>
          <t>香港專櫃課</t>
        </is>
      </c>
      <c r="B185" s="0" t="inlineStr">
        <is>
          <t>P0027</t>
        </is>
      </c>
      <c r="C185" s="0" t="inlineStr">
        <is>
          <t>陳詩祺</t>
        </is>
      </c>
      <c r="D185" s="0" t="inlineStr">
        <is>
          <t>2026/03/31</t>
        </is>
      </c>
      <c r="E185" s="0" t="inlineStr">
        <is>
          <t>月休</t>
        </is>
      </c>
      <c r="I185" s="0" t="n">
        <v>0</v>
      </c>
    </row>
    <row r="186">
      <c r="A186" s="0" t="inlineStr">
        <is>
          <t>香港專櫃課</t>
        </is>
      </c>
      <c r="B186" s="0" t="inlineStr">
        <is>
          <t>P0027</t>
        </is>
      </c>
      <c r="C186" s="0" t="inlineStr">
        <is>
          <t>陳詩祺</t>
        </is>
      </c>
      <c r="D186" s="0" t="inlineStr">
        <is>
          <t>2026/04/01</t>
        </is>
      </c>
      <c r="E186" s="0" t="inlineStr">
        <is>
          <t>月休</t>
        </is>
      </c>
      <c r="I186" s="0" t="n">
        <v>0</v>
      </c>
    </row>
    <row r="187">
      <c r="A187" s="0" t="inlineStr">
        <is>
          <t>香港專櫃課</t>
        </is>
      </c>
      <c r="B187" s="0" t="inlineStr">
        <is>
          <t>P0027</t>
        </is>
      </c>
      <c r="C187" s="0" t="inlineStr">
        <is>
          <t>陳詩祺</t>
        </is>
      </c>
      <c r="D187" s="0" t="inlineStr">
        <is>
          <t>2026/04/02</t>
        </is>
      </c>
      <c r="E187" s="0" t="inlineStr">
        <is>
          <t>上班</t>
        </is>
      </c>
      <c r="F187" s="0" t="inlineStr">
        <is>
          <t>香港晚班</t>
        </is>
      </c>
      <c r="G187" s="0" t="inlineStr">
        <is>
          <t>16:00</t>
        </is>
      </c>
      <c r="H187" s="0" t="inlineStr">
        <is>
          <t>21:00</t>
        </is>
      </c>
      <c r="I187" s="0" t="n">
        <v>5</v>
      </c>
      <c r="J187" s="0" t="inlineStr">
        <is>
          <t>16:00</t>
        </is>
      </c>
      <c r="K187" s="0" t="inlineStr">
        <is>
          <t>21:00</t>
        </is>
      </c>
      <c r="L187" s="0" t="inlineStr">
        <is>
          <t>否</t>
        </is>
      </c>
    </row>
    <row r="188">
      <c r="A188" s="0" t="inlineStr">
        <is>
          <t>香港專櫃課</t>
        </is>
      </c>
      <c r="B188" s="0" t="inlineStr">
        <is>
          <t>P0027</t>
        </is>
      </c>
      <c r="C188" s="0" t="inlineStr">
        <is>
          <t>陳詩祺</t>
        </is>
      </c>
      <c r="D188" s="0" t="inlineStr">
        <is>
          <t>2026/04/03</t>
        </is>
      </c>
      <c r="E188" s="0" t="inlineStr">
        <is>
          <t>上班</t>
        </is>
      </c>
      <c r="F188" s="0" t="inlineStr">
        <is>
          <t>香港早班</t>
        </is>
      </c>
      <c r="G188" s="0" t="inlineStr">
        <is>
          <t>10:30</t>
        </is>
      </c>
      <c r="H188" s="0" t="inlineStr">
        <is>
          <t>16:30</t>
        </is>
      </c>
      <c r="I188" s="0" t="n">
        <v>6</v>
      </c>
      <c r="J188" s="0" t="inlineStr">
        <is>
          <t>10:30</t>
        </is>
      </c>
      <c r="K188" s="0" t="inlineStr">
        <is>
          <t>16:30</t>
        </is>
      </c>
      <c r="L188" s="0" t="inlineStr">
        <is>
          <t>否</t>
        </is>
      </c>
    </row>
    <row r="189">
      <c r="A189" s="0" t="inlineStr">
        <is>
          <t>香港專櫃課</t>
        </is>
      </c>
      <c r="B189" s="0" t="inlineStr">
        <is>
          <t>P0027</t>
        </is>
      </c>
      <c r="C189" s="0" t="inlineStr">
        <is>
          <t>陳詩祺</t>
        </is>
      </c>
      <c r="D189" s="0" t="inlineStr">
        <is>
          <t>2026/04/04</t>
        </is>
      </c>
      <c r="E189" s="0" t="inlineStr">
        <is>
          <t>上班</t>
        </is>
      </c>
      <c r="F189" s="0" t="inlineStr">
        <is>
          <t>香港早班</t>
        </is>
      </c>
      <c r="G189" s="0" t="inlineStr">
        <is>
          <t>10:30</t>
        </is>
      </c>
      <c r="H189" s="0" t="inlineStr">
        <is>
          <t>16:30</t>
        </is>
      </c>
      <c r="I189" s="0" t="n">
        <v>6</v>
      </c>
      <c r="J189" s="0" t="inlineStr">
        <is>
          <t>10:30</t>
        </is>
      </c>
      <c r="K189" s="0" t="inlineStr">
        <is>
          <t>16:30</t>
        </is>
      </c>
      <c r="L189" s="0" t="inlineStr">
        <is>
          <t>否</t>
        </is>
      </c>
    </row>
    <row r="190">
      <c r="A190" s="0" t="inlineStr">
        <is>
          <t>香港專櫃課</t>
        </is>
      </c>
      <c r="B190" s="0" t="inlineStr">
        <is>
          <t>P0027</t>
        </is>
      </c>
      <c r="C190" s="0" t="inlineStr">
        <is>
          <t>陳詩祺</t>
        </is>
      </c>
      <c r="D190" s="0" t="inlineStr">
        <is>
          <t>2026/04/05</t>
        </is>
      </c>
      <c r="E190" s="0" t="inlineStr">
        <is>
          <t>上班</t>
        </is>
      </c>
      <c r="F190" s="0" t="inlineStr">
        <is>
          <t>香港晚班</t>
        </is>
      </c>
      <c r="G190" s="0" t="inlineStr">
        <is>
          <t>16:00</t>
        </is>
      </c>
      <c r="H190" s="0" t="inlineStr">
        <is>
          <t>21:00</t>
        </is>
      </c>
      <c r="I190" s="0" t="n">
        <v>5</v>
      </c>
      <c r="J190" s="0" t="inlineStr">
        <is>
          <t>16:00</t>
        </is>
      </c>
      <c r="K190" s="0" t="inlineStr">
        <is>
          <t>21:00</t>
        </is>
      </c>
      <c r="L190" s="0" t="inlineStr">
        <is>
          <t>否</t>
        </is>
      </c>
    </row>
    <row r="191">
      <c r="A191" s="0" t="inlineStr">
        <is>
          <t>香港專櫃課</t>
        </is>
      </c>
      <c r="B191" s="0" t="inlineStr">
        <is>
          <t>P0027</t>
        </is>
      </c>
      <c r="C191" s="0" t="inlineStr">
        <is>
          <t>陳詩祺</t>
        </is>
      </c>
      <c r="D191" s="0" t="inlineStr">
        <is>
          <t>2026/04/06</t>
        </is>
      </c>
      <c r="E191" s="0" t="inlineStr">
        <is>
          <t>國定假日</t>
        </is>
      </c>
      <c r="I191" s="0" t="n">
        <v>0</v>
      </c>
    </row>
    <row r="192">
      <c r="A192" s="0" t="inlineStr">
        <is>
          <t>香港專櫃課</t>
        </is>
      </c>
      <c r="B192" s="0" t="inlineStr">
        <is>
          <t>P0027</t>
        </is>
      </c>
      <c r="C192" s="0" t="inlineStr">
        <is>
          <t>陳詩祺</t>
        </is>
      </c>
      <c r="D192" s="0" t="inlineStr">
        <is>
          <t>2026/04/07</t>
        </is>
      </c>
      <c r="E192" s="0" t="inlineStr">
        <is>
          <t>國定假日</t>
        </is>
      </c>
      <c r="I192" s="0" t="n">
        <v>0</v>
      </c>
    </row>
    <row r="193">
      <c r="A193" s="0" t="inlineStr">
        <is>
          <t>香港專櫃課</t>
        </is>
      </c>
      <c r="B193" s="0" t="inlineStr">
        <is>
          <t>P0027</t>
        </is>
      </c>
      <c r="C193" s="0" t="inlineStr">
        <is>
          <t>陳詩祺</t>
        </is>
      </c>
      <c r="D193" s="0" t="inlineStr">
        <is>
          <t>2026/04/08</t>
        </is>
      </c>
      <c r="E193" s="0" t="inlineStr">
        <is>
          <t>月休</t>
        </is>
      </c>
      <c r="I193" s="0" t="n">
        <v>0</v>
      </c>
    </row>
    <row r="194">
      <c r="A194" s="0" t="inlineStr">
        <is>
          <t>香港專櫃課</t>
        </is>
      </c>
      <c r="B194" s="0" t="inlineStr">
        <is>
          <t>P0027</t>
        </is>
      </c>
      <c r="C194" s="0" t="inlineStr">
        <is>
          <t>陳詩祺</t>
        </is>
      </c>
      <c r="D194" s="0" t="inlineStr">
        <is>
          <t>2026/04/09</t>
        </is>
      </c>
      <c r="E194" s="0" t="inlineStr">
        <is>
          <t>上班</t>
        </is>
      </c>
      <c r="F194" s="0" t="inlineStr">
        <is>
          <t>香港早班</t>
        </is>
      </c>
      <c r="G194" s="0" t="inlineStr">
        <is>
          <t>10:30</t>
        </is>
      </c>
      <c r="H194" s="0" t="inlineStr">
        <is>
          <t>16:30</t>
        </is>
      </c>
      <c r="I194" s="0" t="n">
        <v>6</v>
      </c>
      <c r="J194" s="0" t="inlineStr">
        <is>
          <t>10:30</t>
        </is>
      </c>
      <c r="K194" s="0" t="inlineStr">
        <is>
          <t>16:30</t>
        </is>
      </c>
      <c r="L194" s="0" t="inlineStr">
        <is>
          <t>否</t>
        </is>
      </c>
    </row>
    <row r="195">
      <c r="A195" s="0" t="inlineStr">
        <is>
          <t>香港專櫃課</t>
        </is>
      </c>
      <c r="B195" s="0" t="inlineStr">
        <is>
          <t>P0027</t>
        </is>
      </c>
      <c r="C195" s="0" t="inlineStr">
        <is>
          <t>陳詩祺</t>
        </is>
      </c>
      <c r="D195" s="0" t="inlineStr">
        <is>
          <t>2026/04/10</t>
        </is>
      </c>
      <c r="E195" s="0" t="inlineStr">
        <is>
          <t>月休</t>
        </is>
      </c>
      <c r="I195" s="0" t="n">
        <v>0</v>
      </c>
    </row>
    <row r="196">
      <c r="A196" s="0" t="inlineStr">
        <is>
          <t>香港專櫃課</t>
        </is>
      </c>
      <c r="B196" s="0" t="inlineStr">
        <is>
          <t>P0027</t>
        </is>
      </c>
      <c r="C196" s="0" t="inlineStr">
        <is>
          <t>陳詩祺</t>
        </is>
      </c>
      <c r="D196" s="0" t="inlineStr">
        <is>
          <t>2026/04/11</t>
        </is>
      </c>
      <c r="E196" s="0" t="inlineStr">
        <is>
          <t>月休</t>
        </is>
      </c>
      <c r="I196" s="0" t="n">
        <v>0</v>
      </c>
    </row>
    <row r="197">
      <c r="A197" s="0" t="inlineStr">
        <is>
          <t>香港專櫃課</t>
        </is>
      </c>
      <c r="B197" s="0" t="inlineStr">
        <is>
          <t>P0027</t>
        </is>
      </c>
      <c r="C197" s="0" t="inlineStr">
        <is>
          <t>陳詩祺</t>
        </is>
      </c>
      <c r="D197" s="0" t="inlineStr">
        <is>
          <t>2026/04/12</t>
        </is>
      </c>
      <c r="E197" s="0" t="inlineStr">
        <is>
          <t>月休</t>
        </is>
      </c>
      <c r="I197" s="0" t="n">
        <v>0</v>
      </c>
    </row>
    <row r="198">
      <c r="A198" s="0" t="inlineStr">
        <is>
          <t>香港專櫃課</t>
        </is>
      </c>
      <c r="B198" s="0" t="inlineStr">
        <is>
          <t>P0027</t>
        </is>
      </c>
      <c r="C198" s="0" t="inlineStr">
        <is>
          <t>陳詩祺</t>
        </is>
      </c>
      <c r="D198" s="0" t="inlineStr">
        <is>
          <t>2026/04/13</t>
        </is>
      </c>
      <c r="E198" s="0" t="inlineStr">
        <is>
          <t>月休</t>
        </is>
      </c>
      <c r="I198" s="0" t="n">
        <v>0</v>
      </c>
    </row>
    <row r="199">
      <c r="A199" s="0" t="inlineStr">
        <is>
          <t>香港專櫃課</t>
        </is>
      </c>
      <c r="B199" s="0" t="inlineStr">
        <is>
          <t>P0027</t>
        </is>
      </c>
      <c r="C199" s="0" t="inlineStr">
        <is>
          <t>陳詩祺</t>
        </is>
      </c>
      <c r="D199" s="0" t="inlineStr">
        <is>
          <t>2026/04/14</t>
        </is>
      </c>
      <c r="E199" s="0" t="inlineStr">
        <is>
          <t>上班</t>
        </is>
      </c>
      <c r="F199" s="0" t="inlineStr">
        <is>
          <t>香港早班</t>
        </is>
      </c>
      <c r="G199" s="0" t="inlineStr">
        <is>
          <t>10:30</t>
        </is>
      </c>
      <c r="H199" s="0" t="inlineStr">
        <is>
          <t>16:30</t>
        </is>
      </c>
      <c r="I199" s="0" t="n">
        <v>6</v>
      </c>
      <c r="J199" s="0" t="inlineStr">
        <is>
          <t>10:30</t>
        </is>
      </c>
      <c r="K199" s="0" t="inlineStr">
        <is>
          <t>16:30</t>
        </is>
      </c>
      <c r="L199" s="0" t="inlineStr">
        <is>
          <t>否</t>
        </is>
      </c>
    </row>
    <row r="200">
      <c r="A200" s="0" t="inlineStr">
        <is>
          <t>香港專櫃課</t>
        </is>
      </c>
      <c r="B200" s="0" t="inlineStr">
        <is>
          <t>P0027</t>
        </is>
      </c>
      <c r="C200" s="0" t="inlineStr">
        <is>
          <t>陳詩祺</t>
        </is>
      </c>
      <c r="D200" s="0" t="inlineStr">
        <is>
          <t>2026/04/15</t>
        </is>
      </c>
      <c r="E200" s="0" t="inlineStr">
        <is>
          <t>月休</t>
        </is>
      </c>
      <c r="I200" s="0" t="n">
        <v>0</v>
      </c>
    </row>
    <row r="201">
      <c r="A201" s="0" t="inlineStr">
        <is>
          <t>香港專櫃課</t>
        </is>
      </c>
      <c r="B201" s="0" t="inlineStr">
        <is>
          <t>P0027</t>
        </is>
      </c>
      <c r="C201" s="0" t="inlineStr">
        <is>
          <t>陳詩祺</t>
        </is>
      </c>
      <c r="D201" s="0" t="inlineStr">
        <is>
          <t>2026/04/16</t>
        </is>
      </c>
      <c r="E201" s="0" t="inlineStr">
        <is>
          <t>月休</t>
        </is>
      </c>
      <c r="I201" s="0" t="n">
        <v>0</v>
      </c>
    </row>
    <row r="202">
      <c r="A202" s="0" t="inlineStr">
        <is>
          <t>香港專櫃課</t>
        </is>
      </c>
      <c r="B202" s="0" t="inlineStr">
        <is>
          <t>P0027</t>
        </is>
      </c>
      <c r="C202" s="0" t="inlineStr">
        <is>
          <t>陳詩祺</t>
        </is>
      </c>
      <c r="D202" s="0" t="inlineStr">
        <is>
          <t>2026/04/17</t>
        </is>
      </c>
      <c r="E202" s="0" t="inlineStr">
        <is>
          <t>月休</t>
        </is>
      </c>
      <c r="I202" s="0" t="n">
        <v>0</v>
      </c>
    </row>
    <row r="203">
      <c r="A203" s="0" t="inlineStr">
        <is>
          <t>香港專櫃課</t>
        </is>
      </c>
      <c r="B203" s="0" t="inlineStr">
        <is>
          <t>P0027</t>
        </is>
      </c>
      <c r="C203" s="0" t="inlineStr">
        <is>
          <t>陳詩祺</t>
        </is>
      </c>
      <c r="D203" s="0" t="inlineStr">
        <is>
          <t>2026/04/18</t>
        </is>
      </c>
      <c r="E203" s="0" t="inlineStr">
        <is>
          <t>月休</t>
        </is>
      </c>
      <c r="I203" s="0" t="n">
        <v>0</v>
      </c>
    </row>
    <row r="204">
      <c r="A204" s="0" t="inlineStr">
        <is>
          <t>香港專櫃課</t>
        </is>
      </c>
      <c r="B204" s="0" t="inlineStr">
        <is>
          <t>P0027</t>
        </is>
      </c>
      <c r="C204" s="0" t="inlineStr">
        <is>
          <t>陳詩祺</t>
        </is>
      </c>
      <c r="D204" s="0" t="inlineStr">
        <is>
          <t>2026/04/19</t>
        </is>
      </c>
      <c r="E204" s="0" t="inlineStr">
        <is>
          <t>月休</t>
        </is>
      </c>
      <c r="I204" s="0" t="n">
        <v>0</v>
      </c>
    </row>
    <row r="205">
      <c r="A205" s="0" t="inlineStr">
        <is>
          <t>香港專櫃課</t>
        </is>
      </c>
      <c r="B205" s="0" t="inlineStr">
        <is>
          <t>P0027</t>
        </is>
      </c>
      <c r="C205" s="0" t="inlineStr">
        <is>
          <t>陳詩祺</t>
        </is>
      </c>
      <c r="D205" s="0" t="inlineStr">
        <is>
          <t>2026/04/20</t>
        </is>
      </c>
      <c r="E205" s="0" t="inlineStr">
        <is>
          <t>月休</t>
        </is>
      </c>
      <c r="I205" s="0" t="n">
        <v>0</v>
      </c>
    </row>
    <row r="206">
      <c r="A206" s="0" t="inlineStr">
        <is>
          <t>香港專櫃課</t>
        </is>
      </c>
      <c r="B206" s="0" t="inlineStr">
        <is>
          <t>P0027</t>
        </is>
      </c>
      <c r="C206" s="0" t="inlineStr">
        <is>
          <t>陳詩祺</t>
        </is>
      </c>
      <c r="D206" s="0" t="inlineStr">
        <is>
          <t>2026/04/21</t>
        </is>
      </c>
      <c r="E206" s="0" t="inlineStr">
        <is>
          <t>上班</t>
        </is>
      </c>
      <c r="F206" s="0" t="inlineStr">
        <is>
          <t>香港早班</t>
        </is>
      </c>
      <c r="G206" s="0" t="inlineStr">
        <is>
          <t>10:30</t>
        </is>
      </c>
      <c r="H206" s="0" t="inlineStr">
        <is>
          <t>16:30</t>
        </is>
      </c>
      <c r="I206" s="0" t="n">
        <v>6</v>
      </c>
      <c r="J206" s="0" t="inlineStr">
        <is>
          <t>10:30</t>
        </is>
      </c>
      <c r="K206" s="0" t="inlineStr">
        <is>
          <t>16:30</t>
        </is>
      </c>
      <c r="L206" s="0" t="inlineStr">
        <is>
          <t>否</t>
        </is>
      </c>
    </row>
    <row r="207">
      <c r="A207" s="0" t="inlineStr">
        <is>
          <t>香港專櫃課</t>
        </is>
      </c>
      <c r="B207" s="0" t="inlineStr">
        <is>
          <t>P0027</t>
        </is>
      </c>
      <c r="C207" s="0" t="inlineStr">
        <is>
          <t>陳詩祺</t>
        </is>
      </c>
      <c r="D207" s="0" t="inlineStr">
        <is>
          <t>2026/04/22</t>
        </is>
      </c>
      <c r="E207" s="0" t="inlineStr">
        <is>
          <t>上班</t>
        </is>
      </c>
      <c r="F207" s="0" t="inlineStr">
        <is>
          <t>特殊晚班</t>
        </is>
      </c>
      <c r="G207" s="0" t="inlineStr">
        <is>
          <t>14:30</t>
        </is>
      </c>
      <c r="H207" s="0" t="inlineStr">
        <is>
          <t>19:30</t>
        </is>
      </c>
      <c r="I207" s="0" t="n">
        <v>5</v>
      </c>
      <c r="J207" s="0" t="inlineStr">
        <is>
          <t>14:30</t>
        </is>
      </c>
      <c r="K207" s="0" t="inlineStr">
        <is>
          <t>19:30</t>
        </is>
      </c>
      <c r="L207" s="0" t="inlineStr">
        <is>
          <t>否</t>
        </is>
      </c>
    </row>
    <row r="208">
      <c r="A208" s="0" t="inlineStr">
        <is>
          <t>香港專櫃課</t>
        </is>
      </c>
      <c r="B208" s="0" t="inlineStr">
        <is>
          <t>P0027</t>
        </is>
      </c>
      <c r="C208" s="0" t="inlineStr">
        <is>
          <t>陳詩祺</t>
        </is>
      </c>
      <c r="D208" s="0" t="inlineStr">
        <is>
          <t>2026/04/23</t>
        </is>
      </c>
      <c r="E208" s="0" t="inlineStr">
        <is>
          <t>月休</t>
        </is>
      </c>
      <c r="I208" s="0" t="n">
        <v>0</v>
      </c>
    </row>
    <row r="209">
      <c r="A209" s="0" t="inlineStr">
        <is>
          <t>香港專櫃課</t>
        </is>
      </c>
      <c r="B209" s="0" t="inlineStr">
        <is>
          <t>P0027</t>
        </is>
      </c>
      <c r="C209" s="0" t="inlineStr">
        <is>
          <t>陳詩祺</t>
        </is>
      </c>
      <c r="D209" s="0" t="inlineStr">
        <is>
          <t>2026/04/24</t>
        </is>
      </c>
      <c r="E209" s="0" t="inlineStr">
        <is>
          <t>月休</t>
        </is>
      </c>
      <c r="I209" s="0" t="n">
        <v>0</v>
      </c>
    </row>
    <row r="210">
      <c r="A210" s="0" t="inlineStr">
        <is>
          <t>香港專櫃課</t>
        </is>
      </c>
      <c r="B210" s="0" t="inlineStr">
        <is>
          <t>P0027</t>
        </is>
      </c>
      <c r="C210" s="0" t="inlineStr">
        <is>
          <t>陳詩祺</t>
        </is>
      </c>
      <c r="D210" s="0" t="inlineStr">
        <is>
          <t>2026/04/25</t>
        </is>
      </c>
      <c r="E210" s="0" t="inlineStr">
        <is>
          <t>月休</t>
        </is>
      </c>
      <c r="I210" s="0" t="n">
        <v>0</v>
      </c>
    </row>
    <row r="211">
      <c r="A211" s="0" t="inlineStr">
        <is>
          <t>香港專櫃課</t>
        </is>
      </c>
      <c r="B211" s="0" t="inlineStr">
        <is>
          <t>P0027</t>
        </is>
      </c>
      <c r="C211" s="0" t="inlineStr">
        <is>
          <t>陳詩祺</t>
        </is>
      </c>
      <c r="D211" s="0" t="inlineStr">
        <is>
          <t>2026/04/26</t>
        </is>
      </c>
      <c r="E211" s="0" t="inlineStr">
        <is>
          <t>月休</t>
        </is>
      </c>
      <c r="I211" s="0" t="n">
        <v>0</v>
      </c>
    </row>
    <row r="212">
      <c r="A212" s="0" t="inlineStr">
        <is>
          <t>香港專櫃課</t>
        </is>
      </c>
      <c r="B212" s="0" t="inlineStr">
        <is>
          <t>P0027</t>
        </is>
      </c>
      <c r="C212" s="0" t="inlineStr">
        <is>
          <t>陳詩祺</t>
        </is>
      </c>
      <c r="D212" s="0" t="inlineStr">
        <is>
          <t>2026/04/27</t>
        </is>
      </c>
      <c r="E212" s="0" t="inlineStr">
        <is>
          <t>月休</t>
        </is>
      </c>
      <c r="I212" s="0" t="n">
        <v>0</v>
      </c>
    </row>
    <row r="213">
      <c r="A213" s="0" t="inlineStr">
        <is>
          <t>香港專櫃課</t>
        </is>
      </c>
      <c r="B213" s="0" t="inlineStr">
        <is>
          <t>P0027</t>
        </is>
      </c>
      <c r="C213" s="0" t="inlineStr">
        <is>
          <t>陳詩祺</t>
        </is>
      </c>
      <c r="D213" s="0" t="inlineStr">
        <is>
          <t>2026/04/28</t>
        </is>
      </c>
      <c r="E213" s="0" t="inlineStr">
        <is>
          <t>月休</t>
        </is>
      </c>
      <c r="I213" s="0" t="n">
        <v>0</v>
      </c>
    </row>
    <row r="214">
      <c r="A214" s="0" t="inlineStr">
        <is>
          <t>香港專櫃課</t>
        </is>
      </c>
      <c r="B214" s="0" t="inlineStr">
        <is>
          <t>P0027</t>
        </is>
      </c>
      <c r="C214" s="0" t="inlineStr">
        <is>
          <t>陳詩祺</t>
        </is>
      </c>
      <c r="D214" s="0" t="inlineStr">
        <is>
          <t>2026/04/29</t>
        </is>
      </c>
      <c r="E214" s="0" t="inlineStr">
        <is>
          <t>月休</t>
        </is>
      </c>
      <c r="I214" s="0" t="n">
        <v>0</v>
      </c>
    </row>
    <row r="215">
      <c r="A215" s="0" t="inlineStr">
        <is>
          <t>香港專櫃課</t>
        </is>
      </c>
      <c r="B215" s="0" t="inlineStr">
        <is>
          <t>P0027</t>
        </is>
      </c>
      <c r="C215" s="0" t="inlineStr">
        <is>
          <t>陳詩祺</t>
        </is>
      </c>
      <c r="D215" s="0" t="inlineStr">
        <is>
          <t>2026/04/30</t>
        </is>
      </c>
      <c r="E215" s="0" t="inlineStr">
        <is>
          <t>月休</t>
        </is>
      </c>
      <c r="I215" s="0" t="n">
        <v>0</v>
      </c>
    </row>
    <row r="216">
      <c r="A216" s="0" t="inlineStr">
        <is>
          <t>香港專櫃課</t>
        </is>
      </c>
      <c r="B216" s="0" t="inlineStr">
        <is>
          <t>P0027</t>
        </is>
      </c>
      <c r="C216" s="0" t="inlineStr">
        <is>
          <t>陳詩祺</t>
        </is>
      </c>
      <c r="D216" s="0" t="inlineStr">
        <is>
          <t>2026/05/01</t>
        </is>
      </c>
      <c r="E216" s="0" t="inlineStr">
        <is>
          <t>國定假日</t>
        </is>
      </c>
      <c r="I216" s="0" t="n">
        <v>0</v>
      </c>
    </row>
    <row r="217">
      <c r="A217" s="0" t="inlineStr">
        <is>
          <t>香港專櫃課</t>
        </is>
      </c>
      <c r="B217" s="0" t="inlineStr">
        <is>
          <t>P0027</t>
        </is>
      </c>
      <c r="C217" s="0" t="inlineStr">
        <is>
          <t>陳詩祺</t>
        </is>
      </c>
      <c r="D217" s="0" t="inlineStr">
        <is>
          <t>2026/05/02</t>
        </is>
      </c>
      <c r="E217" s="0" t="inlineStr">
        <is>
          <t>月休</t>
        </is>
      </c>
      <c r="I217" s="0" t="n">
        <v>0</v>
      </c>
    </row>
    <row r="218">
      <c r="A218" s="0" t="inlineStr">
        <is>
          <t>香港專櫃課</t>
        </is>
      </c>
      <c r="B218" s="0" t="inlineStr">
        <is>
          <t>P0027</t>
        </is>
      </c>
      <c r="C218" s="0" t="inlineStr">
        <is>
          <t>陳詩祺</t>
        </is>
      </c>
      <c r="D218" s="0" t="inlineStr">
        <is>
          <t>2026/05/03</t>
        </is>
      </c>
      <c r="E218" s="0" t="inlineStr">
        <is>
          <t>上班</t>
        </is>
      </c>
      <c r="F218" s="0" t="inlineStr">
        <is>
          <t>香港晚班</t>
        </is>
      </c>
      <c r="G218" s="0" t="inlineStr">
        <is>
          <t>16:00</t>
        </is>
      </c>
      <c r="H218" s="0" t="inlineStr">
        <is>
          <t>21:00</t>
        </is>
      </c>
      <c r="I218" s="0" t="n">
        <v>5</v>
      </c>
      <c r="J218" s="0" t="inlineStr">
        <is>
          <t>16:00</t>
        </is>
      </c>
      <c r="K218" s="0" t="inlineStr">
        <is>
          <t>21:00</t>
        </is>
      </c>
      <c r="L218" s="0" t="inlineStr">
        <is>
          <t>否</t>
        </is>
      </c>
    </row>
    <row r="219">
      <c r="A219" s="0" t="inlineStr">
        <is>
          <t>香港專櫃課</t>
        </is>
      </c>
      <c r="B219" s="0" t="inlineStr">
        <is>
          <t>P0027</t>
        </is>
      </c>
      <c r="C219" s="0" t="inlineStr">
        <is>
          <t>陳詩祺</t>
        </is>
      </c>
      <c r="D219" s="0" t="inlineStr">
        <is>
          <t>2026/05/04</t>
        </is>
      </c>
      <c r="I219" s="0" t="n">
        <v>0</v>
      </c>
    </row>
    <row r="220">
      <c r="A220" s="0" t="inlineStr">
        <is>
          <t>香港專櫃課</t>
        </is>
      </c>
      <c r="B220" s="0" t="inlineStr">
        <is>
          <t>P0027</t>
        </is>
      </c>
      <c r="C220" s="0" t="inlineStr">
        <is>
          <t>陳詩祺</t>
        </is>
      </c>
      <c r="D220" s="0" t="inlineStr">
        <is>
          <t>2026/05/05</t>
        </is>
      </c>
      <c r="I220" s="0" t="n">
        <v>0</v>
      </c>
    </row>
    <row r="221">
      <c r="A221" s="0" t="inlineStr">
        <is>
          <t>香港專櫃課</t>
        </is>
      </c>
      <c r="B221" s="0" t="inlineStr">
        <is>
          <t>P0027</t>
        </is>
      </c>
      <c r="C221" s="0" t="inlineStr">
        <is>
          <t>陳詩祺</t>
        </is>
      </c>
      <c r="D221" s="0" t="inlineStr">
        <is>
          <t>2026/05/06</t>
        </is>
      </c>
      <c r="E221" s="0" t="inlineStr">
        <is>
          <t>上班</t>
        </is>
      </c>
      <c r="F221" s="0" t="inlineStr">
        <is>
          <t>香港早班</t>
        </is>
      </c>
      <c r="G221" s="0" t="inlineStr">
        <is>
          <t>10:30</t>
        </is>
      </c>
      <c r="H221" s="0" t="inlineStr">
        <is>
          <t>16:30</t>
        </is>
      </c>
      <c r="I221" s="0" t="n">
        <v>6</v>
      </c>
      <c r="J221" s="0" t="inlineStr">
        <is>
          <t>10:30</t>
        </is>
      </c>
      <c r="K221" s="0" t="inlineStr">
        <is>
          <t>16:30</t>
        </is>
      </c>
      <c r="L221" s="0" t="inlineStr">
        <is>
          <t>否</t>
        </is>
      </c>
    </row>
    <row r="222">
      <c r="A222" s="0" t="inlineStr">
        <is>
          <t>香港專櫃課</t>
        </is>
      </c>
      <c r="B222" s="0" t="inlineStr">
        <is>
          <t>P0027</t>
        </is>
      </c>
      <c r="C222" s="0" t="inlineStr">
        <is>
          <t>陳詩祺</t>
        </is>
      </c>
      <c r="D222" s="0" t="inlineStr">
        <is>
          <t>2026/05/07</t>
        </is>
      </c>
      <c r="E222" s="0" t="inlineStr">
        <is>
          <t>上班</t>
        </is>
      </c>
      <c r="F222" s="0" t="inlineStr">
        <is>
          <t>香港晚班</t>
        </is>
      </c>
      <c r="G222" s="0" t="inlineStr">
        <is>
          <t>16:00</t>
        </is>
      </c>
      <c r="H222" s="0" t="inlineStr">
        <is>
          <t>21:00</t>
        </is>
      </c>
      <c r="I222" s="0" t="n">
        <v>5</v>
      </c>
      <c r="J222" s="0" t="inlineStr">
        <is>
          <t>16:00</t>
        </is>
      </c>
      <c r="K222" s="0" t="inlineStr">
        <is>
          <t>21:00</t>
        </is>
      </c>
      <c r="L222" s="0" t="inlineStr">
        <is>
          <t>否</t>
        </is>
      </c>
    </row>
    <row r="223">
      <c r="A223" s="0" t="inlineStr">
        <is>
          <t>香港專櫃課</t>
        </is>
      </c>
      <c r="B223" s="0" t="inlineStr">
        <is>
          <t>P0027</t>
        </is>
      </c>
      <c r="C223" s="0" t="inlineStr">
        <is>
          <t>陳詩祺</t>
        </is>
      </c>
      <c r="D223" s="0" t="inlineStr">
        <is>
          <t>2026/05/08</t>
        </is>
      </c>
      <c r="E223" s="0" t="inlineStr">
        <is>
          <t>月休</t>
        </is>
      </c>
      <c r="I223" s="0" t="n">
        <v>0</v>
      </c>
    </row>
    <row r="224">
      <c r="A224" s="0" t="inlineStr">
        <is>
          <t>香港專櫃課</t>
        </is>
      </c>
      <c r="B224" s="0" t="inlineStr">
        <is>
          <t>P0027</t>
        </is>
      </c>
      <c r="C224" s="0" t="inlineStr">
        <is>
          <t>陳詩祺</t>
        </is>
      </c>
      <c r="D224" s="0" t="inlineStr">
        <is>
          <t>2026/05/09</t>
        </is>
      </c>
      <c r="E224" s="0" t="inlineStr">
        <is>
          <t>上班</t>
        </is>
      </c>
      <c r="F224" s="0" t="inlineStr">
        <is>
          <t>香港早班</t>
        </is>
      </c>
      <c r="G224" s="0" t="inlineStr">
        <is>
          <t>10:30</t>
        </is>
      </c>
      <c r="H224" s="0" t="inlineStr">
        <is>
          <t>16:30</t>
        </is>
      </c>
      <c r="I224" s="0" t="n">
        <v>6</v>
      </c>
      <c r="J224" s="0" t="inlineStr">
        <is>
          <t>10:30</t>
        </is>
      </c>
      <c r="K224" s="0" t="inlineStr">
        <is>
          <t>16:30</t>
        </is>
      </c>
      <c r="L224" s="0" t="inlineStr">
        <is>
          <t>否</t>
        </is>
      </c>
    </row>
    <row r="225">
      <c r="A225" s="0" t="inlineStr">
        <is>
          <t>香港專櫃課</t>
        </is>
      </c>
      <c r="B225" s="0" t="inlineStr">
        <is>
          <t>P0027</t>
        </is>
      </c>
      <c r="C225" s="0" t="inlineStr">
        <is>
          <t>陳詩祺</t>
        </is>
      </c>
      <c r="D225" s="0" t="inlineStr">
        <is>
          <t>2026/05/10</t>
        </is>
      </c>
      <c r="E225" s="0" t="inlineStr">
        <is>
          <t>月休</t>
        </is>
      </c>
      <c r="I225" s="0" t="n">
        <v>0</v>
      </c>
    </row>
    <row r="226">
      <c r="A226" s="0" t="inlineStr">
        <is>
          <t>香港專櫃課</t>
        </is>
      </c>
      <c r="B226" s="0" t="inlineStr">
        <is>
          <t>P0027</t>
        </is>
      </c>
      <c r="C226" s="0" t="inlineStr">
        <is>
          <t>陳詩祺</t>
        </is>
      </c>
      <c r="D226" s="0" t="inlineStr">
        <is>
          <t>2026/05/11</t>
        </is>
      </c>
      <c r="E226" s="0" t="inlineStr">
        <is>
          <t>月休</t>
        </is>
      </c>
      <c r="I226" s="0" t="n">
        <v>0</v>
      </c>
    </row>
    <row r="227">
      <c r="A227" s="0" t="inlineStr">
        <is>
          <t>香港專櫃課</t>
        </is>
      </c>
      <c r="B227" s="0" t="inlineStr">
        <is>
          <t>P0027</t>
        </is>
      </c>
      <c r="C227" s="0" t="inlineStr">
        <is>
          <t>陳詩祺</t>
        </is>
      </c>
      <c r="D227" s="0" t="inlineStr">
        <is>
          <t>2026/05/12</t>
        </is>
      </c>
      <c r="I227" s="0" t="n">
        <v>0</v>
      </c>
    </row>
    <row r="228">
      <c r="A228" s="0" t="inlineStr">
        <is>
          <t>香港專櫃課</t>
        </is>
      </c>
      <c r="B228" s="0" t="inlineStr">
        <is>
          <t>P0027</t>
        </is>
      </c>
      <c r="C228" s="0" t="inlineStr">
        <is>
          <t>陳詩祺</t>
        </is>
      </c>
      <c r="D228" s="0" t="inlineStr">
        <is>
          <t>2026/05/13</t>
        </is>
      </c>
      <c r="E228" s="0" t="inlineStr">
        <is>
          <t>月休</t>
        </is>
      </c>
      <c r="I228" s="0" t="n">
        <v>0</v>
      </c>
    </row>
    <row r="229">
      <c r="A229" s="0" t="inlineStr">
        <is>
          <t>香港專櫃課</t>
        </is>
      </c>
      <c r="B229" s="0" t="inlineStr">
        <is>
          <t>P0027</t>
        </is>
      </c>
      <c r="C229" s="0" t="inlineStr">
        <is>
          <t>陳詩祺</t>
        </is>
      </c>
      <c r="D229" s="0" t="inlineStr">
        <is>
          <t>2026/05/14</t>
        </is>
      </c>
      <c r="E229" s="0" t="inlineStr">
        <is>
          <t>月休</t>
        </is>
      </c>
      <c r="I229" s="0" t="n">
        <v>0</v>
      </c>
    </row>
    <row r="230">
      <c r="A230" s="0" t="inlineStr">
        <is>
          <t>香港專櫃課</t>
        </is>
      </c>
      <c r="B230" s="0" t="inlineStr">
        <is>
          <t>P0027</t>
        </is>
      </c>
      <c r="C230" s="0" t="inlineStr">
        <is>
          <t>陳詩祺</t>
        </is>
      </c>
      <c r="D230" s="0" t="inlineStr">
        <is>
          <t>2026/05/15</t>
        </is>
      </c>
      <c r="I230" s="0" t="n">
        <v>0</v>
      </c>
    </row>
    <row r="231">
      <c r="A231" s="0" t="inlineStr">
        <is>
          <t>香港專櫃課</t>
        </is>
      </c>
      <c r="B231" s="0" t="inlineStr">
        <is>
          <t>P0027</t>
        </is>
      </c>
      <c r="C231" s="0" t="inlineStr">
        <is>
          <t>陳詩祺</t>
        </is>
      </c>
      <c r="D231" s="0" t="inlineStr">
        <is>
          <t>2026/05/16</t>
        </is>
      </c>
      <c r="I231" s="0" t="n">
        <v>0</v>
      </c>
    </row>
    <row r="232">
      <c r="A232" s="0" t="inlineStr">
        <is>
          <t>香港專櫃課</t>
        </is>
      </c>
      <c r="B232" s="0" t="inlineStr">
        <is>
          <t>P0027</t>
        </is>
      </c>
      <c r="C232" s="0" t="inlineStr">
        <is>
          <t>陳詩祺</t>
        </is>
      </c>
      <c r="D232" s="0" t="inlineStr">
        <is>
          <t>2026/05/17</t>
        </is>
      </c>
      <c r="E232" s="0" t="inlineStr">
        <is>
          <t>上班</t>
        </is>
      </c>
      <c r="F232" s="0" t="inlineStr">
        <is>
          <t>香港晚班</t>
        </is>
      </c>
      <c r="G232" s="0" t="inlineStr">
        <is>
          <t>16:00</t>
        </is>
      </c>
      <c r="H232" s="0" t="inlineStr">
        <is>
          <t>21:00</t>
        </is>
      </c>
      <c r="I232" s="0" t="n">
        <v>5</v>
      </c>
      <c r="J232" s="0" t="inlineStr">
        <is>
          <t>16:00</t>
        </is>
      </c>
      <c r="K232" s="0" t="inlineStr">
        <is>
          <t>21:00</t>
        </is>
      </c>
      <c r="L232" s="0" t="inlineStr">
        <is>
          <t>否</t>
        </is>
      </c>
    </row>
    <row r="233">
      <c r="A233" s="0" t="inlineStr">
        <is>
          <t>香港專櫃課</t>
        </is>
      </c>
      <c r="B233" s="0" t="inlineStr">
        <is>
          <t>P0027</t>
        </is>
      </c>
      <c r="C233" s="0" t="inlineStr">
        <is>
          <t>陳詩祺</t>
        </is>
      </c>
      <c r="D233" s="0" t="inlineStr">
        <is>
          <t>2026/05/18</t>
        </is>
      </c>
      <c r="I233" s="0" t="n">
        <v>0</v>
      </c>
    </row>
    <row r="234">
      <c r="A234" s="0" t="inlineStr">
        <is>
          <t>香港專櫃課</t>
        </is>
      </c>
      <c r="B234" s="0" t="inlineStr">
        <is>
          <t>P0027</t>
        </is>
      </c>
      <c r="C234" s="0" t="inlineStr">
        <is>
          <t>陳詩祺</t>
        </is>
      </c>
      <c r="D234" s="0" t="inlineStr">
        <is>
          <t>2026/05/19</t>
        </is>
      </c>
      <c r="I234" s="0" t="n">
        <v>0</v>
      </c>
    </row>
    <row r="235">
      <c r="A235" s="0" t="inlineStr">
        <is>
          <t>香港專櫃課</t>
        </is>
      </c>
      <c r="B235" s="0" t="inlineStr">
        <is>
          <t>P0027</t>
        </is>
      </c>
      <c r="C235" s="0" t="inlineStr">
        <is>
          <t>陳詩祺</t>
        </is>
      </c>
      <c r="D235" s="0" t="inlineStr">
        <is>
          <t>2026/05/20</t>
        </is>
      </c>
      <c r="E235" s="0" t="inlineStr">
        <is>
          <t>月休</t>
        </is>
      </c>
      <c r="I235" s="0" t="n">
        <v>0</v>
      </c>
    </row>
    <row r="236">
      <c r="A236" s="0" t="inlineStr">
        <is>
          <t>香港專櫃課</t>
        </is>
      </c>
      <c r="B236" s="0" t="inlineStr">
        <is>
          <t>P0027</t>
        </is>
      </c>
      <c r="C236" s="0" t="inlineStr">
        <is>
          <t>陳詩祺</t>
        </is>
      </c>
      <c r="D236" s="0" t="inlineStr">
        <is>
          <t>2026/05/21</t>
        </is>
      </c>
      <c r="E236" s="0" t="inlineStr">
        <is>
          <t>上班</t>
        </is>
      </c>
      <c r="F236" s="0" t="inlineStr">
        <is>
          <t>香港早班</t>
        </is>
      </c>
      <c r="G236" s="0" t="inlineStr">
        <is>
          <t>10:30</t>
        </is>
      </c>
      <c r="H236" s="0" t="inlineStr">
        <is>
          <t>16:30</t>
        </is>
      </c>
      <c r="I236" s="0" t="n">
        <v>6</v>
      </c>
      <c r="J236" s="0" t="inlineStr">
        <is>
          <t>10:30</t>
        </is>
      </c>
      <c r="K236" s="0" t="inlineStr">
        <is>
          <t>16:30</t>
        </is>
      </c>
      <c r="L236" s="0" t="inlineStr">
        <is>
          <t>否</t>
        </is>
      </c>
    </row>
    <row r="237">
      <c r="A237" s="0" t="inlineStr">
        <is>
          <t>香港專櫃課</t>
        </is>
      </c>
      <c r="B237" s="0" t="inlineStr">
        <is>
          <t>P0027</t>
        </is>
      </c>
      <c r="C237" s="0" t="inlineStr">
        <is>
          <t>陳詩祺</t>
        </is>
      </c>
      <c r="D237" s="0" t="inlineStr">
        <is>
          <t>2026/05/22</t>
        </is>
      </c>
      <c r="I237" s="0" t="n">
        <v>0</v>
      </c>
    </row>
    <row r="238">
      <c r="A238" s="0" t="inlineStr">
        <is>
          <t>香港專櫃課</t>
        </is>
      </c>
      <c r="B238" s="0" t="inlineStr">
        <is>
          <t>P0027</t>
        </is>
      </c>
      <c r="C238" s="0" t="inlineStr">
        <is>
          <t>陳詩祺</t>
        </is>
      </c>
      <c r="D238" s="0" t="inlineStr">
        <is>
          <t>2026/05/23</t>
        </is>
      </c>
      <c r="E238" s="0" t="inlineStr">
        <is>
          <t>上班</t>
        </is>
      </c>
      <c r="F238" s="0" t="inlineStr">
        <is>
          <t>香港早班</t>
        </is>
      </c>
      <c r="G238" s="0" t="inlineStr">
        <is>
          <t>10:30</t>
        </is>
      </c>
      <c r="H238" s="0" t="inlineStr">
        <is>
          <t>16:30</t>
        </is>
      </c>
      <c r="I238" s="0" t="n">
        <v>6</v>
      </c>
      <c r="J238" s="0" t="inlineStr">
        <is>
          <t>10:30</t>
        </is>
      </c>
      <c r="K238" s="0" t="inlineStr">
        <is>
          <t>16:30</t>
        </is>
      </c>
      <c r="L238" s="0" t="inlineStr">
        <is>
          <t>否</t>
        </is>
      </c>
    </row>
    <row r="239">
      <c r="A239" s="0" t="inlineStr">
        <is>
          <t>香港專櫃課</t>
        </is>
      </c>
      <c r="B239" s="0" t="inlineStr">
        <is>
          <t>P0027</t>
        </is>
      </c>
      <c r="C239" s="0" t="inlineStr">
        <is>
          <t>陳詩祺</t>
        </is>
      </c>
      <c r="D239" s="0" t="inlineStr">
        <is>
          <t>2026/05/24</t>
        </is>
      </c>
      <c r="E239" s="0" t="inlineStr">
        <is>
          <t>上班</t>
        </is>
      </c>
      <c r="F239" s="0" t="inlineStr">
        <is>
          <t>香港晚班</t>
        </is>
      </c>
      <c r="G239" s="0" t="inlineStr">
        <is>
          <t>16:00</t>
        </is>
      </c>
      <c r="H239" s="0" t="inlineStr">
        <is>
          <t>21:00</t>
        </is>
      </c>
      <c r="I239" s="0" t="n">
        <v>5</v>
      </c>
      <c r="J239" s="0" t="inlineStr">
        <is>
          <t>16:00</t>
        </is>
      </c>
      <c r="K239" s="0" t="inlineStr">
        <is>
          <t>21:00</t>
        </is>
      </c>
      <c r="L239" s="0" t="inlineStr">
        <is>
          <t>否</t>
        </is>
      </c>
    </row>
    <row r="240">
      <c r="A240" s="0" t="inlineStr">
        <is>
          <t>香港專櫃課</t>
        </is>
      </c>
      <c r="B240" s="0" t="inlineStr">
        <is>
          <t>P0027</t>
        </is>
      </c>
      <c r="C240" s="0" t="inlineStr">
        <is>
          <t>陳詩祺</t>
        </is>
      </c>
      <c r="D240" s="0" t="inlineStr">
        <is>
          <t>2026/05/25</t>
        </is>
      </c>
      <c r="E240" s="0" t="inlineStr">
        <is>
          <t>國定假日</t>
        </is>
      </c>
      <c r="I240" s="0" t="n">
        <v>0</v>
      </c>
    </row>
    <row r="241">
      <c r="A241" s="0" t="inlineStr">
        <is>
          <t>香港專櫃課</t>
        </is>
      </c>
      <c r="B241" s="0" t="inlineStr">
        <is>
          <t>P0027</t>
        </is>
      </c>
      <c r="C241" s="0" t="inlineStr">
        <is>
          <t>陳詩祺</t>
        </is>
      </c>
      <c r="D241" s="0" t="inlineStr">
        <is>
          <t>2026/05/26</t>
        </is>
      </c>
      <c r="E241" s="0" t="inlineStr">
        <is>
          <t>上班</t>
        </is>
      </c>
      <c r="F241" s="0" t="inlineStr">
        <is>
          <t>香港早班</t>
        </is>
      </c>
      <c r="G241" s="0" t="inlineStr">
        <is>
          <t>10:30</t>
        </is>
      </c>
      <c r="H241" s="0" t="inlineStr">
        <is>
          <t>16:30</t>
        </is>
      </c>
      <c r="I241" s="0" t="n">
        <v>6</v>
      </c>
      <c r="J241" s="0" t="inlineStr">
        <is>
          <t>10:30</t>
        </is>
      </c>
      <c r="K241" s="0" t="inlineStr">
        <is>
          <t>16:30</t>
        </is>
      </c>
      <c r="L241" s="0" t="inlineStr">
        <is>
          <t>否</t>
        </is>
      </c>
    </row>
    <row r="242">
      <c r="A242" s="0" t="inlineStr">
        <is>
          <t>香港專櫃課</t>
        </is>
      </c>
      <c r="B242" s="0" t="inlineStr">
        <is>
          <t>P0027</t>
        </is>
      </c>
      <c r="C242" s="0" t="inlineStr">
        <is>
          <t>陳詩祺</t>
        </is>
      </c>
      <c r="D242" s="0" t="inlineStr">
        <is>
          <t>2026/05/27</t>
        </is>
      </c>
      <c r="E242" s="0" t="inlineStr">
        <is>
          <t>上班</t>
        </is>
      </c>
      <c r="F242" s="0" t="inlineStr">
        <is>
          <t>香港晚班</t>
        </is>
      </c>
      <c r="G242" s="0" t="inlineStr">
        <is>
          <t>16:00</t>
        </is>
      </c>
      <c r="H242" s="0" t="inlineStr">
        <is>
          <t>21:00</t>
        </is>
      </c>
      <c r="I242" s="0" t="n">
        <v>5</v>
      </c>
      <c r="J242" s="0" t="inlineStr">
        <is>
          <t>16:00</t>
        </is>
      </c>
      <c r="K242" s="0" t="inlineStr">
        <is>
          <t>21:00</t>
        </is>
      </c>
      <c r="L242" s="0" t="inlineStr">
        <is>
          <t>否</t>
        </is>
      </c>
    </row>
    <row r="243">
      <c r="A243" s="0" t="inlineStr">
        <is>
          <t>香港專櫃課</t>
        </is>
      </c>
      <c r="B243" s="0" t="inlineStr">
        <is>
          <t>P0027</t>
        </is>
      </c>
      <c r="C243" s="0" t="inlineStr">
        <is>
          <t>陳詩祺</t>
        </is>
      </c>
      <c r="D243" s="0" t="inlineStr">
        <is>
          <t>2026/05/28</t>
        </is>
      </c>
      <c r="I243" s="0" t="n">
        <v>0</v>
      </c>
    </row>
    <row r="244">
      <c r="A244" s="0" t="inlineStr">
        <is>
          <t>香港專櫃課</t>
        </is>
      </c>
      <c r="B244" s="0" t="inlineStr">
        <is>
          <t>P0027</t>
        </is>
      </c>
      <c r="C244" s="0" t="inlineStr">
        <is>
          <t>陳詩祺</t>
        </is>
      </c>
      <c r="D244" s="0" t="inlineStr">
        <is>
          <t>2026/05/29</t>
        </is>
      </c>
      <c r="E244" s="0" t="inlineStr">
        <is>
          <t>上班</t>
        </is>
      </c>
      <c r="F244" s="0" t="inlineStr">
        <is>
          <t>香港早班</t>
        </is>
      </c>
      <c r="G244" s="0" t="inlineStr">
        <is>
          <t>10:30</t>
        </is>
      </c>
      <c r="H244" s="0" t="inlineStr">
        <is>
          <t>16:30</t>
        </is>
      </c>
      <c r="I244" s="0" t="n">
        <v>6</v>
      </c>
      <c r="J244" s="0" t="inlineStr">
        <is>
          <t>10:30</t>
        </is>
      </c>
      <c r="K244" s="0" t="inlineStr">
        <is>
          <t>16:30</t>
        </is>
      </c>
      <c r="L244" s="0" t="inlineStr">
        <is>
          <t>否</t>
        </is>
      </c>
    </row>
    <row r="245">
      <c r="A245" s="0" t="inlineStr">
        <is>
          <t>香港專櫃課</t>
        </is>
      </c>
      <c r="B245" s="0" t="inlineStr">
        <is>
          <t>P0027</t>
        </is>
      </c>
      <c r="C245" s="0" t="inlineStr">
        <is>
          <t>陳詩祺</t>
        </is>
      </c>
      <c r="D245" s="0" t="inlineStr">
        <is>
          <t>2026/05/30</t>
        </is>
      </c>
      <c r="E245" s="0" t="inlineStr">
        <is>
          <t>上班</t>
        </is>
      </c>
      <c r="F245" s="0" t="inlineStr">
        <is>
          <t>香港晚班</t>
        </is>
      </c>
      <c r="G245" s="0" t="inlineStr">
        <is>
          <t>16:00</t>
        </is>
      </c>
      <c r="H245" s="0" t="inlineStr">
        <is>
          <t>21:00</t>
        </is>
      </c>
      <c r="I245" s="0" t="n">
        <v>5</v>
      </c>
      <c r="J245" s="0" t="inlineStr">
        <is>
          <t>16:00</t>
        </is>
      </c>
      <c r="K245" s="0" t="inlineStr">
        <is>
          <t>21:00</t>
        </is>
      </c>
      <c r="L245" s="0" t="inlineStr">
        <is>
          <t>否</t>
        </is>
      </c>
    </row>
    <row r="246">
      <c r="A246" s="0" t="inlineStr">
        <is>
          <t>香港專櫃課</t>
        </is>
      </c>
      <c r="B246" s="0" t="inlineStr">
        <is>
          <t>P0027</t>
        </is>
      </c>
      <c r="C246" s="0" t="inlineStr">
        <is>
          <t>陳詩祺</t>
        </is>
      </c>
      <c r="D246" s="0" t="inlineStr">
        <is>
          <t>2026/05/31</t>
        </is>
      </c>
      <c r="E246" s="0" t="inlineStr">
        <is>
          <t>上班</t>
        </is>
      </c>
      <c r="F246" s="0" t="inlineStr">
        <is>
          <t>香港早班</t>
        </is>
      </c>
      <c r="G246" s="0" t="inlineStr">
        <is>
          <t>10:30</t>
        </is>
      </c>
      <c r="H246" s="0" t="inlineStr">
        <is>
          <t>16:30</t>
        </is>
      </c>
      <c r="I246" s="0" t="n">
        <v>6</v>
      </c>
      <c r="J246" s="0" t="inlineStr">
        <is>
          <t>10:30</t>
        </is>
      </c>
      <c r="K246" s="0" t="inlineStr">
        <is>
          <t>16:30</t>
        </is>
      </c>
      <c r="L246" s="0" t="inlineStr">
        <is>
          <t>否</t>
        </is>
      </c>
    </row>
    <row r="247">
      <c r="A247" s="0" t="inlineStr">
        <is>
          <t>香港專櫃課</t>
        </is>
      </c>
      <c r="B247" s="0" t="inlineStr">
        <is>
          <t>P0027</t>
        </is>
      </c>
      <c r="C247" s="0" t="inlineStr">
        <is>
          <t>陳詩祺</t>
        </is>
      </c>
      <c r="D247" s="0" t="inlineStr">
        <is>
          <t>2026/06/01</t>
        </is>
      </c>
      <c r="E247" s="0" t="inlineStr">
        <is>
          <t>月休</t>
        </is>
      </c>
      <c r="I247" s="0" t="n">
        <v>0</v>
      </c>
    </row>
    <row r="248">
      <c r="A248" s="0" t="inlineStr">
        <is>
          <t>香港專櫃課</t>
        </is>
      </c>
      <c r="B248" s="0" t="inlineStr">
        <is>
          <t>P0027</t>
        </is>
      </c>
      <c r="C248" s="0" t="inlineStr">
        <is>
          <t>陳詩祺</t>
        </is>
      </c>
      <c r="D248" s="0" t="inlineStr">
        <is>
          <t>2026/06/02</t>
        </is>
      </c>
      <c r="E248" s="0" t="inlineStr">
        <is>
          <t>月休</t>
        </is>
      </c>
      <c r="I248" s="0" t="n">
        <v>0</v>
      </c>
    </row>
    <row r="249">
      <c r="A249" s="0" t="inlineStr">
        <is>
          <t>香港專櫃課</t>
        </is>
      </c>
      <c r="B249" s="0" t="inlineStr">
        <is>
          <t>P0027</t>
        </is>
      </c>
      <c r="C249" s="0" t="inlineStr">
        <is>
          <t>陳詩祺</t>
        </is>
      </c>
      <c r="D249" s="0" t="inlineStr">
        <is>
          <t>2026/06/03</t>
        </is>
      </c>
      <c r="E249" s="0" t="inlineStr">
        <is>
          <t>月休</t>
        </is>
      </c>
      <c r="I249" s="0" t="n">
        <v>0</v>
      </c>
    </row>
    <row r="250">
      <c r="A250" s="0" t="inlineStr">
        <is>
          <t>香港專櫃課</t>
        </is>
      </c>
      <c r="B250" s="0" t="inlineStr">
        <is>
          <t>P0027</t>
        </is>
      </c>
      <c r="C250" s="0" t="inlineStr">
        <is>
          <t>陳詩祺</t>
        </is>
      </c>
      <c r="D250" s="0" t="inlineStr">
        <is>
          <t>2026/06/04</t>
        </is>
      </c>
      <c r="E250" s="0" t="inlineStr">
        <is>
          <t>月休</t>
        </is>
      </c>
      <c r="I250" s="0" t="n">
        <v>0</v>
      </c>
    </row>
    <row r="251">
      <c r="A251" s="0" t="inlineStr">
        <is>
          <t>香港專櫃課</t>
        </is>
      </c>
      <c r="B251" s="0" t="inlineStr">
        <is>
          <t>P0027</t>
        </is>
      </c>
      <c r="C251" s="0" t="inlineStr">
        <is>
          <t>陳詩祺</t>
        </is>
      </c>
      <c r="D251" s="0" t="inlineStr">
        <is>
          <t>2026/06/05</t>
        </is>
      </c>
      <c r="E251" s="0" t="inlineStr">
        <is>
          <t>月休</t>
        </is>
      </c>
      <c r="I251" s="0" t="n">
        <v>0</v>
      </c>
    </row>
    <row r="252">
      <c r="A252" s="0" t="inlineStr">
        <is>
          <t>香港專櫃課</t>
        </is>
      </c>
      <c r="B252" s="0" t="inlineStr">
        <is>
          <t>P0027</t>
        </is>
      </c>
      <c r="C252" s="0" t="inlineStr">
        <is>
          <t>陳詩祺</t>
        </is>
      </c>
      <c r="D252" s="0" t="inlineStr">
        <is>
          <t>2026/06/06</t>
        </is>
      </c>
      <c r="E252" s="0" t="inlineStr">
        <is>
          <t>上班</t>
        </is>
      </c>
      <c r="F252" s="0" t="inlineStr">
        <is>
          <t>香港晚班</t>
        </is>
      </c>
      <c r="G252" s="0" t="inlineStr">
        <is>
          <t>16:00</t>
        </is>
      </c>
      <c r="H252" s="0" t="inlineStr">
        <is>
          <t>21:00</t>
        </is>
      </c>
      <c r="I252" s="0" t="n">
        <v>5</v>
      </c>
      <c r="J252" s="0" t="inlineStr">
        <is>
          <t>16:00</t>
        </is>
      </c>
      <c r="K252" s="0" t="inlineStr">
        <is>
          <t>21:00</t>
        </is>
      </c>
      <c r="L252" s="0" t="inlineStr">
        <is>
          <t>否</t>
        </is>
      </c>
    </row>
    <row r="253">
      <c r="A253" s="0" t="inlineStr">
        <is>
          <t>香港專櫃課</t>
        </is>
      </c>
      <c r="B253" s="0" t="inlineStr">
        <is>
          <t>P0027</t>
        </is>
      </c>
      <c r="C253" s="0" t="inlineStr">
        <is>
          <t>陳詩祺</t>
        </is>
      </c>
      <c r="D253" s="0" t="inlineStr">
        <is>
          <t>2026/06/07</t>
        </is>
      </c>
      <c r="E253" s="0" t="inlineStr">
        <is>
          <t>上班</t>
        </is>
      </c>
      <c r="F253" s="0" t="inlineStr">
        <is>
          <t>香港早班</t>
        </is>
      </c>
      <c r="G253" s="0" t="inlineStr">
        <is>
          <t>10:30</t>
        </is>
      </c>
      <c r="H253" s="0" t="inlineStr">
        <is>
          <t>16:30</t>
        </is>
      </c>
      <c r="I253" s="0" t="n">
        <v>6</v>
      </c>
      <c r="J253" s="0" t="inlineStr">
        <is>
          <t>10:30</t>
        </is>
      </c>
      <c r="K253" s="0" t="inlineStr">
        <is>
          <t>16:30</t>
        </is>
      </c>
      <c r="L253" s="0" t="inlineStr">
        <is>
          <t>否</t>
        </is>
      </c>
    </row>
    <row r="254">
      <c r="A254" s="0" t="inlineStr">
        <is>
          <t>香港專櫃課</t>
        </is>
      </c>
      <c r="B254" s="0" t="inlineStr">
        <is>
          <t>P0027</t>
        </is>
      </c>
      <c r="C254" s="0" t="inlineStr">
        <is>
          <t>陳詩祺</t>
        </is>
      </c>
      <c r="D254" s="0" t="inlineStr">
        <is>
          <t>2026/06/08</t>
        </is>
      </c>
      <c r="E254" s="0" t="inlineStr">
        <is>
          <t>月休</t>
        </is>
      </c>
      <c r="I254" s="0" t="n">
        <v>0</v>
      </c>
    </row>
    <row r="255">
      <c r="A255" s="0" t="inlineStr">
        <is>
          <t>香港專櫃課</t>
        </is>
      </c>
      <c r="B255" s="0" t="inlineStr">
        <is>
          <t>P0027</t>
        </is>
      </c>
      <c r="C255" s="0" t="inlineStr">
        <is>
          <t>陳詩祺</t>
        </is>
      </c>
      <c r="D255" s="0" t="inlineStr">
        <is>
          <t>2026/06/09</t>
        </is>
      </c>
      <c r="E255" s="0" t="inlineStr">
        <is>
          <t>月休</t>
        </is>
      </c>
      <c r="I255" s="0" t="n">
        <v>0</v>
      </c>
    </row>
    <row r="256">
      <c r="A256" s="0" t="inlineStr">
        <is>
          <t>香港專櫃課</t>
        </is>
      </c>
      <c r="B256" s="0" t="inlineStr">
        <is>
          <t>P0027</t>
        </is>
      </c>
      <c r="C256" s="0" t="inlineStr">
        <is>
          <t>陳詩祺</t>
        </is>
      </c>
      <c r="D256" s="0" t="inlineStr">
        <is>
          <t>2026/06/10</t>
        </is>
      </c>
      <c r="E256" s="0" t="inlineStr">
        <is>
          <t>月休</t>
        </is>
      </c>
      <c r="I256" s="0" t="n">
        <v>0</v>
      </c>
    </row>
    <row r="257">
      <c r="A257" s="0" t="inlineStr">
        <is>
          <t>香港專櫃課</t>
        </is>
      </c>
      <c r="B257" s="0" t="inlineStr">
        <is>
          <t>P0027</t>
        </is>
      </c>
      <c r="C257" s="0" t="inlineStr">
        <is>
          <t>陳詩祺</t>
        </is>
      </c>
      <c r="D257" s="0" t="inlineStr">
        <is>
          <t>2026/06/11</t>
        </is>
      </c>
      <c r="E257" s="0" t="inlineStr">
        <is>
          <t>月休</t>
        </is>
      </c>
      <c r="I257" s="0" t="n">
        <v>0</v>
      </c>
    </row>
    <row r="258">
      <c r="A258" s="0" t="inlineStr">
        <is>
          <t>香港專櫃課</t>
        </is>
      </c>
      <c r="B258" s="0" t="inlineStr">
        <is>
          <t>P0027</t>
        </is>
      </c>
      <c r="C258" s="0" t="inlineStr">
        <is>
          <t>陳詩祺</t>
        </is>
      </c>
      <c r="D258" s="0" t="inlineStr">
        <is>
          <t>2026/06/12</t>
        </is>
      </c>
      <c r="E258" s="0" t="inlineStr">
        <is>
          <t>月休</t>
        </is>
      </c>
      <c r="I258" s="0" t="n">
        <v>0</v>
      </c>
    </row>
    <row r="259">
      <c r="A259" s="0" t="inlineStr">
        <is>
          <t>香港專櫃課</t>
        </is>
      </c>
      <c r="B259" s="0" t="inlineStr">
        <is>
          <t>P0027</t>
        </is>
      </c>
      <c r="C259" s="0" t="inlineStr">
        <is>
          <t>陳詩祺</t>
        </is>
      </c>
      <c r="D259" s="0" t="inlineStr">
        <is>
          <t>2026/06/13</t>
        </is>
      </c>
      <c r="E259" s="0" t="inlineStr">
        <is>
          <t>上班</t>
        </is>
      </c>
      <c r="F259" s="0" t="inlineStr">
        <is>
          <t>香港早班</t>
        </is>
      </c>
      <c r="G259" s="0" t="inlineStr">
        <is>
          <t>10:30</t>
        </is>
      </c>
      <c r="H259" s="0" t="inlineStr">
        <is>
          <t>16:30</t>
        </is>
      </c>
      <c r="I259" s="0" t="n">
        <v>6</v>
      </c>
      <c r="J259" s="0" t="inlineStr">
        <is>
          <t>10:30</t>
        </is>
      </c>
      <c r="K259" s="0" t="inlineStr">
        <is>
          <t>16:30</t>
        </is>
      </c>
      <c r="L259" s="0" t="inlineStr">
        <is>
          <t>否</t>
        </is>
      </c>
    </row>
    <row r="260">
      <c r="A260" s="0" t="inlineStr">
        <is>
          <t>香港專櫃課</t>
        </is>
      </c>
      <c r="B260" s="0" t="inlineStr">
        <is>
          <t>P0027</t>
        </is>
      </c>
      <c r="C260" s="0" t="inlineStr">
        <is>
          <t>陳詩祺</t>
        </is>
      </c>
      <c r="D260" s="0" t="inlineStr">
        <is>
          <t>2026/06/14</t>
        </is>
      </c>
      <c r="E260" s="0" t="inlineStr">
        <is>
          <t>上班</t>
        </is>
      </c>
      <c r="F260" s="0" t="inlineStr">
        <is>
          <t>香港早班</t>
        </is>
      </c>
      <c r="G260" s="0" t="inlineStr">
        <is>
          <t>10:30</t>
        </is>
      </c>
      <c r="H260" s="0" t="inlineStr">
        <is>
          <t>16:30</t>
        </is>
      </c>
      <c r="I260" s="0" t="n">
        <v>6</v>
      </c>
      <c r="J260" s="0" t="inlineStr">
        <is>
          <t>10:30</t>
        </is>
      </c>
      <c r="K260" s="0" t="inlineStr">
        <is>
          <t>16:30</t>
        </is>
      </c>
      <c r="L260" s="0" t="inlineStr">
        <is>
          <t>否</t>
        </is>
      </c>
    </row>
    <row r="261">
      <c r="A261" s="0" t="inlineStr">
        <is>
          <t>香港專櫃課</t>
        </is>
      </c>
      <c r="B261" s="0" t="inlineStr">
        <is>
          <t>P0027</t>
        </is>
      </c>
      <c r="C261" s="0" t="inlineStr">
        <is>
          <t>陳詩祺</t>
        </is>
      </c>
      <c r="D261" s="0" t="inlineStr">
        <is>
          <t>2026/06/15</t>
        </is>
      </c>
      <c r="E261" s="0" t="inlineStr">
        <is>
          <t>月休</t>
        </is>
      </c>
      <c r="I261" s="0" t="n">
        <v>0</v>
      </c>
    </row>
    <row r="262">
      <c r="A262" s="0" t="inlineStr">
        <is>
          <t>香港專櫃課</t>
        </is>
      </c>
      <c r="B262" s="0" t="inlineStr">
        <is>
          <t>P0027</t>
        </is>
      </c>
      <c r="C262" s="0" t="inlineStr">
        <is>
          <t>陳詩祺</t>
        </is>
      </c>
      <c r="D262" s="0" t="inlineStr">
        <is>
          <t>2026/06/16</t>
        </is>
      </c>
      <c r="E262" s="0" t="inlineStr">
        <is>
          <t>上班</t>
        </is>
      </c>
      <c r="F262" s="0" t="inlineStr">
        <is>
          <t>特殊晚班</t>
        </is>
      </c>
      <c r="G262" s="0" t="inlineStr">
        <is>
          <t>14:30</t>
        </is>
      </c>
      <c r="H262" s="0" t="inlineStr">
        <is>
          <t>19:30</t>
        </is>
      </c>
      <c r="I262" s="0" t="n">
        <v>5</v>
      </c>
      <c r="J262" s="0" t="inlineStr">
        <is>
          <t>14:30</t>
        </is>
      </c>
      <c r="K262" s="0" t="inlineStr">
        <is>
          <t>19:30</t>
        </is>
      </c>
      <c r="L262" s="0" t="inlineStr">
        <is>
          <t>否</t>
        </is>
      </c>
    </row>
    <row r="263">
      <c r="A263" s="0" t="inlineStr">
        <is>
          <t>香港專櫃課</t>
        </is>
      </c>
      <c r="B263" s="0" t="inlineStr">
        <is>
          <t>P0027</t>
        </is>
      </c>
      <c r="C263" s="0" t="inlineStr">
        <is>
          <t>陳詩祺</t>
        </is>
      </c>
      <c r="D263" s="0" t="inlineStr">
        <is>
          <t>2026/06/17</t>
        </is>
      </c>
      <c r="E263" s="0" t="inlineStr">
        <is>
          <t>月休</t>
        </is>
      </c>
      <c r="I263" s="0" t="n">
        <v>0</v>
      </c>
    </row>
    <row r="264">
      <c r="A264" s="0" t="inlineStr">
        <is>
          <t>香港專櫃課</t>
        </is>
      </c>
      <c r="B264" s="0" t="inlineStr">
        <is>
          <t>P0027</t>
        </is>
      </c>
      <c r="C264" s="0" t="inlineStr">
        <is>
          <t>陳詩祺</t>
        </is>
      </c>
      <c r="D264" s="0" t="inlineStr">
        <is>
          <t>2026/06/18</t>
        </is>
      </c>
      <c r="E264" s="0" t="inlineStr">
        <is>
          <t>上班</t>
        </is>
      </c>
      <c r="F264" s="0" t="inlineStr">
        <is>
          <t>特殊晚班</t>
        </is>
      </c>
      <c r="G264" s="0" t="inlineStr">
        <is>
          <t>15:30</t>
        </is>
      </c>
      <c r="H264" s="0" t="inlineStr">
        <is>
          <t>20:30</t>
        </is>
      </c>
      <c r="I264" s="0" t="n">
        <v>5</v>
      </c>
      <c r="J264" s="0" t="inlineStr">
        <is>
          <t>15:30</t>
        </is>
      </c>
      <c r="K264" s="0" t="inlineStr">
        <is>
          <t>20:30</t>
        </is>
      </c>
      <c r="L264" s="0" t="inlineStr">
        <is>
          <t>否</t>
        </is>
      </c>
    </row>
    <row r="265">
      <c r="A265" s="0" t="inlineStr">
        <is>
          <t>香港專櫃課</t>
        </is>
      </c>
      <c r="B265" s="0" t="inlineStr">
        <is>
          <t>P0027</t>
        </is>
      </c>
      <c r="C265" s="0" t="inlineStr">
        <is>
          <t>陳詩祺</t>
        </is>
      </c>
      <c r="D265" s="0" t="inlineStr">
        <is>
          <t>2026/06/19</t>
        </is>
      </c>
      <c r="E265" s="0" t="inlineStr">
        <is>
          <t>國定假日</t>
        </is>
      </c>
      <c r="I265" s="0" t="n">
        <v>0</v>
      </c>
    </row>
    <row r="266">
      <c r="A266" s="0" t="inlineStr">
        <is>
          <t>香港專櫃課</t>
        </is>
      </c>
      <c r="B266" s="0" t="inlineStr">
        <is>
          <t>P0027</t>
        </is>
      </c>
      <c r="C266" s="0" t="inlineStr">
        <is>
          <t>陳詩祺</t>
        </is>
      </c>
      <c r="D266" s="0" t="inlineStr">
        <is>
          <t>2026/06/20</t>
        </is>
      </c>
      <c r="E266" s="0" t="inlineStr">
        <is>
          <t>上班</t>
        </is>
      </c>
      <c r="F266" s="0" t="inlineStr">
        <is>
          <t>香港早班</t>
        </is>
      </c>
      <c r="G266" s="0" t="inlineStr">
        <is>
          <t>10:30</t>
        </is>
      </c>
      <c r="H266" s="0" t="inlineStr">
        <is>
          <t>16:30</t>
        </is>
      </c>
      <c r="I266" s="0" t="n">
        <v>6</v>
      </c>
      <c r="J266" s="0" t="inlineStr">
        <is>
          <t>10:30</t>
        </is>
      </c>
      <c r="K266" s="0" t="inlineStr">
        <is>
          <t>16:30</t>
        </is>
      </c>
      <c r="L266" s="0" t="inlineStr">
        <is>
          <t>否</t>
        </is>
      </c>
    </row>
    <row r="267">
      <c r="A267" s="0" t="inlineStr">
        <is>
          <t>香港專櫃課</t>
        </is>
      </c>
      <c r="B267" s="0" t="inlineStr">
        <is>
          <t>P0027</t>
        </is>
      </c>
      <c r="C267" s="0" t="inlineStr">
        <is>
          <t>陳詩祺</t>
        </is>
      </c>
      <c r="D267" s="0" t="inlineStr">
        <is>
          <t>2026/06/21</t>
        </is>
      </c>
      <c r="E267" s="0" t="inlineStr">
        <is>
          <t>月休</t>
        </is>
      </c>
      <c r="I267" s="0" t="n">
        <v>0</v>
      </c>
    </row>
    <row r="268">
      <c r="A268" s="0" t="inlineStr">
        <is>
          <t>香港專櫃課</t>
        </is>
      </c>
      <c r="B268" s="0" t="inlineStr">
        <is>
          <t>P0027</t>
        </is>
      </c>
      <c r="C268" s="0" t="inlineStr">
        <is>
          <t>陳詩祺</t>
        </is>
      </c>
      <c r="D268" s="0" t="inlineStr">
        <is>
          <t>2026/06/22</t>
        </is>
      </c>
      <c r="E268" s="0" t="inlineStr">
        <is>
          <t>月休</t>
        </is>
      </c>
      <c r="I268" s="0" t="n">
        <v>0</v>
      </c>
    </row>
    <row r="269">
      <c r="A269" s="0" t="inlineStr">
        <is>
          <t>香港專櫃課</t>
        </is>
      </c>
      <c r="B269" s="0" t="inlineStr">
        <is>
          <t>P0027</t>
        </is>
      </c>
      <c r="C269" s="0" t="inlineStr">
        <is>
          <t>陳詩祺</t>
        </is>
      </c>
      <c r="D269" s="0" t="inlineStr">
        <is>
          <t>2026/06/23</t>
        </is>
      </c>
      <c r="E269" s="0" t="inlineStr">
        <is>
          <t>上班</t>
        </is>
      </c>
      <c r="F269" s="0" t="inlineStr">
        <is>
          <t>特殊晚班</t>
        </is>
      </c>
      <c r="G269" s="0" t="inlineStr">
        <is>
          <t>14:30</t>
        </is>
      </c>
      <c r="H269" s="0" t="inlineStr">
        <is>
          <t>19:30</t>
        </is>
      </c>
      <c r="I269" s="0" t="n">
        <v>5</v>
      </c>
      <c r="J269" s="0" t="inlineStr">
        <is>
          <t>14:30</t>
        </is>
      </c>
      <c r="K269" s="0" t="inlineStr">
        <is>
          <t>19:30</t>
        </is>
      </c>
      <c r="L269" s="0" t="inlineStr">
        <is>
          <t>否</t>
        </is>
      </c>
    </row>
    <row r="270">
      <c r="A270" s="0" t="inlineStr">
        <is>
          <t>香港專櫃課</t>
        </is>
      </c>
      <c r="B270" s="0" t="inlineStr">
        <is>
          <t>P0027</t>
        </is>
      </c>
      <c r="C270" s="0" t="inlineStr">
        <is>
          <t>陳詩祺</t>
        </is>
      </c>
      <c r="D270" s="0" t="inlineStr">
        <is>
          <t>2026/06/24</t>
        </is>
      </c>
      <c r="E270" s="0" t="inlineStr">
        <is>
          <t>月休</t>
        </is>
      </c>
      <c r="I270" s="0" t="n">
        <v>0</v>
      </c>
    </row>
    <row r="271">
      <c r="A271" s="0" t="inlineStr">
        <is>
          <t>香港專櫃課</t>
        </is>
      </c>
      <c r="B271" s="0" t="inlineStr">
        <is>
          <t>P0027</t>
        </is>
      </c>
      <c r="C271" s="0" t="inlineStr">
        <is>
          <t>陳詩祺</t>
        </is>
      </c>
      <c r="D271" s="0" t="inlineStr">
        <is>
          <t>2026/06/25</t>
        </is>
      </c>
      <c r="E271" s="0" t="inlineStr">
        <is>
          <t>月休</t>
        </is>
      </c>
      <c r="I271" s="0" t="n">
        <v>0</v>
      </c>
    </row>
    <row r="272">
      <c r="A272" s="0" t="inlineStr">
        <is>
          <t>香港專櫃課</t>
        </is>
      </c>
      <c r="B272" s="0" t="inlineStr">
        <is>
          <t>P0027</t>
        </is>
      </c>
      <c r="C272" s="0" t="inlineStr">
        <is>
          <t>陳詩祺</t>
        </is>
      </c>
      <c r="D272" s="0" t="inlineStr">
        <is>
          <t>2026/06/26</t>
        </is>
      </c>
      <c r="E272" s="0" t="inlineStr">
        <is>
          <t>上班</t>
        </is>
      </c>
      <c r="F272" s="0" t="inlineStr">
        <is>
          <t>特殊晚班</t>
        </is>
      </c>
      <c r="G272" s="0" t="inlineStr">
        <is>
          <t>14:30</t>
        </is>
      </c>
      <c r="H272" s="0" t="inlineStr">
        <is>
          <t>19:30</t>
        </is>
      </c>
      <c r="I272" s="0" t="n">
        <v>5</v>
      </c>
      <c r="J272" s="0" t="inlineStr">
        <is>
          <t>14:30</t>
        </is>
      </c>
      <c r="K272" s="0" t="inlineStr">
        <is>
          <t>19:30</t>
        </is>
      </c>
      <c r="L272" s="0" t="inlineStr">
        <is>
          <t>否</t>
        </is>
      </c>
    </row>
    <row r="273">
      <c r="A273" s="0" t="inlineStr">
        <is>
          <t>香港專櫃課</t>
        </is>
      </c>
      <c r="B273" s="0" t="inlineStr">
        <is>
          <t>P0027</t>
        </is>
      </c>
      <c r="C273" s="0" t="inlineStr">
        <is>
          <t>陳詩祺</t>
        </is>
      </c>
      <c r="D273" s="0" t="inlineStr">
        <is>
          <t>2026/06/27</t>
        </is>
      </c>
      <c r="E273" s="0" t="inlineStr">
        <is>
          <t>上班</t>
        </is>
      </c>
      <c r="F273" s="0" t="inlineStr">
        <is>
          <t>香港早班</t>
        </is>
      </c>
      <c r="G273" s="0" t="inlineStr">
        <is>
          <t>10:30</t>
        </is>
      </c>
      <c r="H273" s="0" t="inlineStr">
        <is>
          <t>16:30</t>
        </is>
      </c>
      <c r="I273" s="0" t="n">
        <v>6</v>
      </c>
      <c r="J273" s="0" t="inlineStr">
        <is>
          <t>10:30</t>
        </is>
      </c>
      <c r="K273" s="0" t="inlineStr">
        <is>
          <t>16:30</t>
        </is>
      </c>
      <c r="L273" s="0" t="inlineStr">
        <is>
          <t>否</t>
        </is>
      </c>
    </row>
    <row r="274">
      <c r="A274" s="0" t="inlineStr">
        <is>
          <t>香港專櫃課</t>
        </is>
      </c>
      <c r="B274" s="0" t="inlineStr">
        <is>
          <t>P0027</t>
        </is>
      </c>
      <c r="C274" s="0" t="inlineStr">
        <is>
          <t>陳詩祺</t>
        </is>
      </c>
      <c r="D274" s="0" t="inlineStr">
        <is>
          <t>2026/06/28</t>
        </is>
      </c>
      <c r="E274" s="0" t="inlineStr">
        <is>
          <t>上班</t>
        </is>
      </c>
      <c r="F274" s="0" t="inlineStr">
        <is>
          <t>香港早班</t>
        </is>
      </c>
      <c r="G274" s="0" t="inlineStr">
        <is>
          <t>10:30</t>
        </is>
      </c>
      <c r="H274" s="0" t="inlineStr">
        <is>
          <t>16:30</t>
        </is>
      </c>
      <c r="I274" s="0" t="n">
        <v>6</v>
      </c>
      <c r="J274" s="0" t="inlineStr">
        <is>
          <t>10:30</t>
        </is>
      </c>
      <c r="K274" s="0" t="inlineStr">
        <is>
          <t>16:30</t>
        </is>
      </c>
      <c r="L274" s="0" t="inlineStr">
        <is>
          <t>否</t>
        </is>
      </c>
    </row>
    <row r="275">
      <c r="A275" s="0" t="inlineStr">
        <is>
          <t>香港專櫃課</t>
        </is>
      </c>
      <c r="B275" s="0" t="inlineStr">
        <is>
          <t>P0027</t>
        </is>
      </c>
      <c r="C275" s="0" t="inlineStr">
        <is>
          <t>陳詩祺</t>
        </is>
      </c>
      <c r="D275" s="0" t="inlineStr">
        <is>
          <t>2026/06/29</t>
        </is>
      </c>
      <c r="E275" s="0" t="inlineStr">
        <is>
          <t>月休</t>
        </is>
      </c>
      <c r="I275" s="0" t="n">
        <v>0</v>
      </c>
    </row>
    <row r="276">
      <c r="A276" s="0" t="inlineStr">
        <is>
          <t>香港專櫃課</t>
        </is>
      </c>
      <c r="B276" s="0" t="inlineStr">
        <is>
          <t>P0027</t>
        </is>
      </c>
      <c r="C276" s="0" t="inlineStr">
        <is>
          <t>陳詩祺</t>
        </is>
      </c>
      <c r="D276" s="0" t="inlineStr">
        <is>
          <t>2026/06/30</t>
        </is>
      </c>
      <c r="E276" s="0" t="inlineStr">
        <is>
          <t>上班</t>
        </is>
      </c>
      <c r="F276" s="0" t="inlineStr">
        <is>
          <t>特殊晚班</t>
        </is>
      </c>
      <c r="G276" s="0" t="inlineStr">
        <is>
          <t>14:30</t>
        </is>
      </c>
      <c r="H276" s="0" t="inlineStr">
        <is>
          <t>19:30</t>
        </is>
      </c>
      <c r="I276" s="0" t="n">
        <v>5</v>
      </c>
      <c r="J276" s="0" t="inlineStr">
        <is>
          <t>14:30</t>
        </is>
      </c>
      <c r="K276" s="0" t="inlineStr">
        <is>
          <t>19:30</t>
        </is>
      </c>
      <c r="L276" s="0" t="inlineStr">
        <is>
          <t>否</t>
        </is>
      </c>
    </row>
    <row r="277">
      <c r="A277" s="0" t="inlineStr">
        <is>
          <t>香港專櫃課</t>
        </is>
      </c>
      <c r="B277" s="0" t="inlineStr">
        <is>
          <t>P0027</t>
        </is>
      </c>
      <c r="C277" s="0" t="inlineStr">
        <is>
          <t>陳詩祺</t>
        </is>
      </c>
      <c r="D277" s="0" t="inlineStr">
        <is>
          <t>2026/07/01</t>
        </is>
      </c>
      <c r="E277" s="0" t="inlineStr">
        <is>
          <t>國定假日</t>
        </is>
      </c>
      <c r="I277" s="0" t="n">
        <v>0</v>
      </c>
    </row>
    <row r="278">
      <c r="A278" s="0" t="inlineStr">
        <is>
          <t>香港專櫃課</t>
        </is>
      </c>
      <c r="B278" s="0" t="inlineStr">
        <is>
          <t>P0027</t>
        </is>
      </c>
      <c r="C278" s="0" t="inlineStr">
        <is>
          <t>陳詩祺</t>
        </is>
      </c>
      <c r="D278" s="0" t="inlineStr">
        <is>
          <t>2026/07/02</t>
        </is>
      </c>
      <c r="E278" s="0" t="inlineStr">
        <is>
          <t>上班</t>
        </is>
      </c>
      <c r="F278" s="0" t="inlineStr">
        <is>
          <t>香港早班</t>
        </is>
      </c>
      <c r="G278" s="0" t="inlineStr">
        <is>
          <t>10:30</t>
        </is>
      </c>
      <c r="H278" s="0" t="inlineStr">
        <is>
          <t>16:30</t>
        </is>
      </c>
      <c r="I278" s="0" t="n">
        <v>6</v>
      </c>
      <c r="J278" s="0" t="inlineStr">
        <is>
          <t>10:30</t>
        </is>
      </c>
      <c r="K278" s="0" t="inlineStr">
        <is>
          <t>16:30</t>
        </is>
      </c>
      <c r="L278" s="0" t="inlineStr">
        <is>
          <t>否</t>
        </is>
      </c>
    </row>
    <row r="279">
      <c r="A279" s="0" t="inlineStr">
        <is>
          <t>香港專櫃課</t>
        </is>
      </c>
      <c r="B279" s="0" t="inlineStr">
        <is>
          <t>P0027</t>
        </is>
      </c>
      <c r="C279" s="0" t="inlineStr">
        <is>
          <t>陳詩祺</t>
        </is>
      </c>
      <c r="D279" s="0" t="inlineStr">
        <is>
          <t>2026/07/03</t>
        </is>
      </c>
      <c r="I279" s="0" t="n">
        <v>0</v>
      </c>
    </row>
    <row r="280">
      <c r="A280" s="0" t="inlineStr">
        <is>
          <t>香港專櫃課</t>
        </is>
      </c>
      <c r="B280" s="0" t="inlineStr">
        <is>
          <t>P0027</t>
        </is>
      </c>
      <c r="C280" s="0" t="inlineStr">
        <is>
          <t>陳詩祺</t>
        </is>
      </c>
      <c r="D280" s="0" t="inlineStr">
        <is>
          <t>2026/07/04</t>
        </is>
      </c>
      <c r="E280" s="0" t="inlineStr">
        <is>
          <t>上班</t>
        </is>
      </c>
      <c r="F280" s="0" t="inlineStr">
        <is>
          <t>特殊晚班</t>
        </is>
      </c>
      <c r="G280" s="0" t="inlineStr">
        <is>
          <t>14:30</t>
        </is>
      </c>
      <c r="H280" s="0" t="inlineStr">
        <is>
          <t>19:30</t>
        </is>
      </c>
      <c r="I280" s="0" t="n">
        <v>5</v>
      </c>
      <c r="J280" s="0" t="inlineStr">
        <is>
          <t>14:30</t>
        </is>
      </c>
      <c r="K280" s="0" t="inlineStr">
        <is>
          <t>19:30</t>
        </is>
      </c>
      <c r="L280" s="0" t="inlineStr">
        <is>
          <t>否</t>
        </is>
      </c>
    </row>
    <row r="281">
      <c r="A281" s="0" t="inlineStr">
        <is>
          <t>香港專櫃課</t>
        </is>
      </c>
      <c r="B281" s="0" t="inlineStr">
        <is>
          <t>P0027</t>
        </is>
      </c>
      <c r="C281" s="0" t="inlineStr">
        <is>
          <t>陳詩祺</t>
        </is>
      </c>
      <c r="D281" s="0" t="inlineStr">
        <is>
          <t>2026/07/05</t>
        </is>
      </c>
      <c r="E281" s="0" t="inlineStr">
        <is>
          <t>上班</t>
        </is>
      </c>
      <c r="F281" s="0" t="inlineStr">
        <is>
          <t>特殊晚班</t>
        </is>
      </c>
      <c r="G281" s="0" t="inlineStr">
        <is>
          <t>14:30</t>
        </is>
      </c>
      <c r="H281" s="0" t="inlineStr">
        <is>
          <t>19:30</t>
        </is>
      </c>
      <c r="I281" s="0" t="n">
        <v>5</v>
      </c>
      <c r="J281" s="0" t="inlineStr">
        <is>
          <t>14:30</t>
        </is>
      </c>
      <c r="K281" s="0" t="inlineStr">
        <is>
          <t>19:30</t>
        </is>
      </c>
      <c r="L281" s="0" t="inlineStr">
        <is>
          <t>否</t>
        </is>
      </c>
    </row>
    <row r="282">
      <c r="A282" s="0" t="inlineStr">
        <is>
          <t>香港專櫃課</t>
        </is>
      </c>
      <c r="B282" s="0" t="inlineStr">
        <is>
          <t>P0027</t>
        </is>
      </c>
      <c r="C282" s="0" t="inlineStr">
        <is>
          <t>陳詩祺</t>
        </is>
      </c>
      <c r="D282" s="0" t="inlineStr">
        <is>
          <t>2026/07/06</t>
        </is>
      </c>
      <c r="E282" s="0" t="inlineStr">
        <is>
          <t>月休</t>
        </is>
      </c>
      <c r="I282" s="0" t="n">
        <v>0</v>
      </c>
    </row>
    <row r="283">
      <c r="A283" s="0" t="inlineStr">
        <is>
          <t>香港專櫃課</t>
        </is>
      </c>
      <c r="B283" s="0" t="inlineStr">
        <is>
          <t>P0027</t>
        </is>
      </c>
      <c r="C283" s="0" t="inlineStr">
        <is>
          <t>陳詩祺</t>
        </is>
      </c>
      <c r="D283" s="0" t="inlineStr">
        <is>
          <t>2026/07/07</t>
        </is>
      </c>
      <c r="I283" s="0" t="n">
        <v>0</v>
      </c>
    </row>
    <row r="284">
      <c r="A284" s="0" t="inlineStr">
        <is>
          <t>香港專櫃課</t>
        </is>
      </c>
      <c r="B284" s="0" t="inlineStr">
        <is>
          <t>P0027</t>
        </is>
      </c>
      <c r="C284" s="0" t="inlineStr">
        <is>
          <t>陳詩祺</t>
        </is>
      </c>
      <c r="D284" s="0" t="inlineStr">
        <is>
          <t>2026/07/08</t>
        </is>
      </c>
      <c r="I284" s="0" t="n">
        <v>0</v>
      </c>
    </row>
    <row r="285">
      <c r="A285" s="0" t="inlineStr">
        <is>
          <t>香港專櫃課</t>
        </is>
      </c>
      <c r="B285" s="0" t="inlineStr">
        <is>
          <t>P0027</t>
        </is>
      </c>
      <c r="C285" s="0" t="inlineStr">
        <is>
          <t>陳詩祺</t>
        </is>
      </c>
      <c r="D285" s="0" t="inlineStr">
        <is>
          <t>2026/07/09</t>
        </is>
      </c>
      <c r="E285" s="0" t="inlineStr">
        <is>
          <t>上班</t>
        </is>
      </c>
      <c r="F285" s="0" t="inlineStr">
        <is>
          <t>特殊晚班</t>
        </is>
      </c>
      <c r="G285" s="0" t="inlineStr">
        <is>
          <t>14:30</t>
        </is>
      </c>
      <c r="H285" s="0" t="inlineStr">
        <is>
          <t>19:30</t>
        </is>
      </c>
      <c r="I285" s="0" t="n">
        <v>5</v>
      </c>
      <c r="J285" s="0" t="inlineStr">
        <is>
          <t>14:30</t>
        </is>
      </c>
      <c r="K285" s="0" t="inlineStr">
        <is>
          <t>19:30</t>
        </is>
      </c>
      <c r="L285" s="0" t="inlineStr">
        <is>
          <t>否</t>
        </is>
      </c>
    </row>
    <row r="286">
      <c r="A286" s="0" t="inlineStr">
        <is>
          <t>香港專櫃課</t>
        </is>
      </c>
      <c r="B286" s="0" t="inlineStr">
        <is>
          <t>P0027</t>
        </is>
      </c>
      <c r="C286" s="0" t="inlineStr">
        <is>
          <t>陳詩祺</t>
        </is>
      </c>
      <c r="D286" s="0" t="inlineStr">
        <is>
          <t>2026/07/10</t>
        </is>
      </c>
      <c r="E286" s="0" t="inlineStr">
        <is>
          <t>上班</t>
        </is>
      </c>
      <c r="F286" s="0" t="inlineStr">
        <is>
          <t>香港ALL班</t>
        </is>
      </c>
      <c r="G286" s="0" t="inlineStr">
        <is>
          <t>10:30</t>
        </is>
      </c>
      <c r="H286" s="0" t="inlineStr">
        <is>
          <t>21:00</t>
        </is>
      </c>
      <c r="I286" s="0" t="n">
        <v>10.5</v>
      </c>
      <c r="J286" s="0" t="inlineStr">
        <is>
          <t>10:30</t>
        </is>
      </c>
      <c r="K286" s="0" t="inlineStr">
        <is>
          <t>21:00</t>
        </is>
      </c>
      <c r="L286" s="0" t="inlineStr">
        <is>
          <t>否</t>
        </is>
      </c>
    </row>
    <row r="287">
      <c r="A287" s="0" t="inlineStr">
        <is>
          <t>香港專櫃課</t>
        </is>
      </c>
      <c r="B287" s="0" t="inlineStr">
        <is>
          <t>P0027</t>
        </is>
      </c>
      <c r="C287" s="0" t="inlineStr">
        <is>
          <t>陳詩祺</t>
        </is>
      </c>
      <c r="D287" s="0" t="inlineStr">
        <is>
          <t>2026/07/11</t>
        </is>
      </c>
      <c r="I287" s="0" t="n">
        <v>0</v>
      </c>
    </row>
    <row r="288">
      <c r="A288" s="0" t="inlineStr">
        <is>
          <t>香港專櫃課</t>
        </is>
      </c>
      <c r="B288" s="0" t="inlineStr">
        <is>
          <t>P0027</t>
        </is>
      </c>
      <c r="C288" s="0" t="inlineStr">
        <is>
          <t>陳詩祺</t>
        </is>
      </c>
      <c r="D288" s="0" t="inlineStr">
        <is>
          <t>2026/07/12</t>
        </is>
      </c>
      <c r="I288" s="0" t="n">
        <v>0</v>
      </c>
    </row>
    <row r="289">
      <c r="A289" s="0" t="inlineStr">
        <is>
          <t>香港專櫃課</t>
        </is>
      </c>
      <c r="B289" s="0" t="inlineStr">
        <is>
          <t>P0027</t>
        </is>
      </c>
      <c r="C289" s="0" t="inlineStr">
        <is>
          <t>陳詩祺</t>
        </is>
      </c>
      <c r="D289" s="0" t="inlineStr">
        <is>
          <t>2026/07/13</t>
        </is>
      </c>
      <c r="E289" s="0" t="inlineStr">
        <is>
          <t>月休</t>
        </is>
      </c>
      <c r="I289" s="0" t="n">
        <v>0</v>
      </c>
    </row>
    <row r="290">
      <c r="A290" s="0" t="inlineStr">
        <is>
          <t>香港專櫃課</t>
        </is>
      </c>
      <c r="B290" s="0" t="inlineStr">
        <is>
          <t>P0027</t>
        </is>
      </c>
      <c r="C290" s="0" t="inlineStr">
        <is>
          <t>陳詩祺</t>
        </is>
      </c>
      <c r="D290" s="0" t="inlineStr">
        <is>
          <t>2026/07/14</t>
        </is>
      </c>
      <c r="I290" s="0" t="n">
        <v>0</v>
      </c>
    </row>
    <row r="291">
      <c r="A291" s="0" t="inlineStr">
        <is>
          <t>香港專櫃課</t>
        </is>
      </c>
      <c r="B291" s="0" t="inlineStr">
        <is>
          <t>P0027</t>
        </is>
      </c>
      <c r="C291" s="0" t="inlineStr">
        <is>
          <t>陳詩祺</t>
        </is>
      </c>
      <c r="D291" s="0" t="inlineStr">
        <is>
          <t>2026/07/15</t>
        </is>
      </c>
      <c r="I291" s="0" t="n">
        <v>0</v>
      </c>
    </row>
    <row r="292">
      <c r="A292" s="0" t="inlineStr">
        <is>
          <t>香港專櫃課</t>
        </is>
      </c>
      <c r="B292" s="0" t="inlineStr">
        <is>
          <t>P0027</t>
        </is>
      </c>
      <c r="C292" s="0" t="inlineStr">
        <is>
          <t>陳詩祺</t>
        </is>
      </c>
      <c r="D292" s="0" t="inlineStr">
        <is>
          <t>2026/07/16</t>
        </is>
      </c>
      <c r="I292" s="0" t="n">
        <v>0</v>
      </c>
    </row>
    <row r="293">
      <c r="A293" s="0" t="inlineStr">
        <is>
          <t>香港專櫃課</t>
        </is>
      </c>
      <c r="B293" s="0" t="inlineStr">
        <is>
          <t>P0027</t>
        </is>
      </c>
      <c r="C293" s="0" t="inlineStr">
        <is>
          <t>陳詩祺</t>
        </is>
      </c>
      <c r="D293" s="0" t="inlineStr">
        <is>
          <t>2026/07/17</t>
        </is>
      </c>
      <c r="I293" s="0" t="n">
        <v>0</v>
      </c>
    </row>
    <row r="294">
      <c r="A294" s="0" t="inlineStr">
        <is>
          <t>香港專櫃課</t>
        </is>
      </c>
      <c r="B294" s="0" t="inlineStr">
        <is>
          <t>P0027</t>
        </is>
      </c>
      <c r="C294" s="0" t="inlineStr">
        <is>
          <t>陳詩祺</t>
        </is>
      </c>
      <c r="D294" s="0" t="inlineStr">
        <is>
          <t>2026/07/18</t>
        </is>
      </c>
      <c r="E294" s="0" t="inlineStr">
        <is>
          <t>月休</t>
        </is>
      </c>
      <c r="I294" s="0" t="n">
        <v>0</v>
      </c>
    </row>
    <row r="295">
      <c r="A295" s="0" t="inlineStr">
        <is>
          <t>香港專櫃課</t>
        </is>
      </c>
      <c r="B295" s="0" t="inlineStr">
        <is>
          <t>P0027</t>
        </is>
      </c>
      <c r="C295" s="0" t="inlineStr">
        <is>
          <t>陳詩祺</t>
        </is>
      </c>
      <c r="D295" s="0" t="inlineStr">
        <is>
          <t>2026/07/19</t>
        </is>
      </c>
      <c r="E295" s="0" t="inlineStr">
        <is>
          <t>上班</t>
        </is>
      </c>
      <c r="F295" s="0" t="inlineStr">
        <is>
          <t>香港ALL班</t>
        </is>
      </c>
      <c r="G295" s="0" t="inlineStr">
        <is>
          <t>10:30</t>
        </is>
      </c>
      <c r="H295" s="0" t="inlineStr">
        <is>
          <t>21:00</t>
        </is>
      </c>
      <c r="I295" s="0" t="n">
        <v>10.5</v>
      </c>
      <c r="J295" s="0" t="inlineStr">
        <is>
          <t>10:30</t>
        </is>
      </c>
      <c r="K295" s="0" t="inlineStr">
        <is>
          <t>21:00</t>
        </is>
      </c>
      <c r="L295" s="0" t="inlineStr">
        <is>
          <t>否</t>
        </is>
      </c>
    </row>
    <row r="296">
      <c r="A296" s="0" t="inlineStr">
        <is>
          <t>香港專櫃課</t>
        </is>
      </c>
      <c r="B296" s="0" t="inlineStr">
        <is>
          <t>P0027</t>
        </is>
      </c>
      <c r="C296" s="0" t="inlineStr">
        <is>
          <t>陳詩祺</t>
        </is>
      </c>
      <c r="D296" s="0" t="inlineStr">
        <is>
          <t>2026/07/20</t>
        </is>
      </c>
      <c r="I296" s="0" t="n">
        <v>0</v>
      </c>
    </row>
    <row r="297">
      <c r="A297" s="0" t="inlineStr">
        <is>
          <t>香港專櫃課</t>
        </is>
      </c>
      <c r="B297" s="0" t="inlineStr">
        <is>
          <t>P0027</t>
        </is>
      </c>
      <c r="C297" s="0" t="inlineStr">
        <is>
          <t>陳詩祺</t>
        </is>
      </c>
      <c r="D297" s="0" t="inlineStr">
        <is>
          <t>2026/07/21</t>
        </is>
      </c>
      <c r="E297" s="0" t="inlineStr">
        <is>
          <t>上班</t>
        </is>
      </c>
      <c r="F297" s="0" t="inlineStr">
        <is>
          <t>香港早班</t>
        </is>
      </c>
      <c r="G297" s="0" t="inlineStr">
        <is>
          <t>10:30</t>
        </is>
      </c>
      <c r="H297" s="0" t="inlineStr">
        <is>
          <t>16:30</t>
        </is>
      </c>
      <c r="I297" s="0" t="n">
        <v>6</v>
      </c>
      <c r="J297" s="0" t="inlineStr">
        <is>
          <t>10:30</t>
        </is>
      </c>
      <c r="K297" s="0" t="inlineStr">
        <is>
          <t>16:30</t>
        </is>
      </c>
      <c r="L297" s="0" t="inlineStr">
        <is>
          <t>否</t>
        </is>
      </c>
    </row>
    <row r="298">
      <c r="A298" s="0" t="inlineStr">
        <is>
          <t>香港專櫃課</t>
        </is>
      </c>
      <c r="B298" s="0" t="inlineStr">
        <is>
          <t>P0027</t>
        </is>
      </c>
      <c r="C298" s="0" t="inlineStr">
        <is>
          <t>陳詩祺</t>
        </is>
      </c>
      <c r="D298" s="0" t="inlineStr">
        <is>
          <t>2026/07/22</t>
        </is>
      </c>
      <c r="I298" s="0" t="n">
        <v>0</v>
      </c>
    </row>
    <row r="299">
      <c r="A299" s="0" t="inlineStr">
        <is>
          <t>香港專櫃課</t>
        </is>
      </c>
      <c r="B299" s="0" t="inlineStr">
        <is>
          <t>P0027</t>
        </is>
      </c>
      <c r="C299" s="0" t="inlineStr">
        <is>
          <t>陳詩祺</t>
        </is>
      </c>
      <c r="D299" s="0" t="inlineStr">
        <is>
          <t>2026/07/23</t>
        </is>
      </c>
      <c r="E299" s="0" t="inlineStr">
        <is>
          <t>上班</t>
        </is>
      </c>
      <c r="F299" s="0" t="inlineStr">
        <is>
          <t>香港晚班</t>
        </is>
      </c>
      <c r="G299" s="0" t="inlineStr">
        <is>
          <t>16:00</t>
        </is>
      </c>
      <c r="H299" s="0" t="inlineStr">
        <is>
          <t>21:00</t>
        </is>
      </c>
      <c r="I299" s="0" t="n">
        <v>5</v>
      </c>
      <c r="J299" s="0" t="inlineStr">
        <is>
          <t>16:00</t>
        </is>
      </c>
      <c r="K299" s="0" t="inlineStr">
        <is>
          <t>21:00</t>
        </is>
      </c>
      <c r="L299" s="0" t="inlineStr">
        <is>
          <t>否</t>
        </is>
      </c>
    </row>
    <row r="300">
      <c r="A300" s="0" t="inlineStr">
        <is>
          <t>香港專櫃課</t>
        </is>
      </c>
      <c r="B300" s="0" t="inlineStr">
        <is>
          <t>P0027</t>
        </is>
      </c>
      <c r="C300" s="0" t="inlineStr">
        <is>
          <t>陳詩祺</t>
        </is>
      </c>
      <c r="D300" s="0" t="inlineStr">
        <is>
          <t>2026/07/24</t>
        </is>
      </c>
      <c r="I300" s="0" t="n">
        <v>0</v>
      </c>
    </row>
    <row r="301">
      <c r="A301" s="0" t="inlineStr">
        <is>
          <t>香港專櫃課</t>
        </is>
      </c>
      <c r="B301" s="0" t="inlineStr">
        <is>
          <t>P0027</t>
        </is>
      </c>
      <c r="C301" s="0" t="inlineStr">
        <is>
          <t>陳詩祺</t>
        </is>
      </c>
      <c r="D301" s="0" t="inlineStr">
        <is>
          <t>2026/07/25</t>
        </is>
      </c>
      <c r="I301" s="0" t="n">
        <v>0</v>
      </c>
    </row>
    <row r="302">
      <c r="A302" s="0" t="inlineStr">
        <is>
          <t>香港專櫃課</t>
        </is>
      </c>
      <c r="B302" s="0" t="inlineStr">
        <is>
          <t>P0027</t>
        </is>
      </c>
      <c r="C302" s="0" t="inlineStr">
        <is>
          <t>陳詩祺</t>
        </is>
      </c>
      <c r="D302" s="0" t="inlineStr">
        <is>
          <t>2026/07/26</t>
        </is>
      </c>
      <c r="I302" s="0" t="n">
        <v>0</v>
      </c>
    </row>
    <row r="303">
      <c r="A303" s="0" t="inlineStr">
        <is>
          <t>香港專櫃課</t>
        </is>
      </c>
      <c r="B303" s="0" t="inlineStr">
        <is>
          <t>P0027</t>
        </is>
      </c>
      <c r="C303" s="0" t="inlineStr">
        <is>
          <t>陳詩祺</t>
        </is>
      </c>
      <c r="D303" s="0" t="inlineStr">
        <is>
          <t>2026/07/27</t>
        </is>
      </c>
      <c r="I303" s="0" t="n">
        <v>0</v>
      </c>
    </row>
    <row r="304">
      <c r="A304" s="0" t="inlineStr">
        <is>
          <t>香港專櫃課</t>
        </is>
      </c>
      <c r="B304" s="0" t="inlineStr">
        <is>
          <t>P0027</t>
        </is>
      </c>
      <c r="C304" s="0" t="inlineStr">
        <is>
          <t>陳詩祺</t>
        </is>
      </c>
      <c r="D304" s="0" t="inlineStr">
        <is>
          <t>2026/07/28</t>
        </is>
      </c>
      <c r="I304" s="0" t="n">
        <v>0</v>
      </c>
    </row>
    <row r="305">
      <c r="A305" s="0" t="inlineStr">
        <is>
          <t>香港專櫃課</t>
        </is>
      </c>
      <c r="B305" s="0" t="inlineStr">
        <is>
          <t>P0027</t>
        </is>
      </c>
      <c r="C305" s="0" t="inlineStr">
        <is>
          <t>陳詩祺</t>
        </is>
      </c>
      <c r="D305" s="0" t="inlineStr">
        <is>
          <t>2026/07/29</t>
        </is>
      </c>
      <c r="I305" s="0" t="n">
        <v>0</v>
      </c>
    </row>
    <row r="306">
      <c r="A306" s="0" t="inlineStr">
        <is>
          <t>香港專櫃課</t>
        </is>
      </c>
      <c r="B306" s="0" t="inlineStr">
        <is>
          <t>P0027</t>
        </is>
      </c>
      <c r="C306" s="0" t="inlineStr">
        <is>
          <t>陳詩祺</t>
        </is>
      </c>
      <c r="D306" s="0" t="inlineStr">
        <is>
          <t>2026/07/30</t>
        </is>
      </c>
      <c r="I306" s="0" t="n">
        <v>0</v>
      </c>
    </row>
    <row r="307">
      <c r="A307" s="0" t="inlineStr">
        <is>
          <t>香港專櫃課</t>
        </is>
      </c>
      <c r="B307" s="0" t="inlineStr">
        <is>
          <t>P0027</t>
        </is>
      </c>
      <c r="C307" s="0" t="inlineStr">
        <is>
          <t>陳詩祺</t>
        </is>
      </c>
      <c r="D307" s="0" t="inlineStr">
        <is>
          <t>2026/07/31</t>
        </is>
      </c>
      <c r="I307" s="0" t="n">
        <v>0</v>
      </c>
    </row>
    <row r="308">
      <c r="A308" s="0" t="inlineStr">
        <is>
          <t>香港專櫃課</t>
        </is>
      </c>
      <c r="B308" s="0" t="inlineStr">
        <is>
          <t>P0028</t>
        </is>
      </c>
      <c r="C308" s="0" t="inlineStr">
        <is>
          <t>盧天欣</t>
        </is>
      </c>
      <c r="D308" s="0" t="inlineStr">
        <is>
          <t>2026/03/01</t>
        </is>
      </c>
      <c r="I308" s="0" t="n">
        <v>0</v>
      </c>
    </row>
    <row r="309">
      <c r="A309" s="0" t="inlineStr">
        <is>
          <t>香港專櫃課</t>
        </is>
      </c>
      <c r="B309" s="0" t="inlineStr">
        <is>
          <t>P0028</t>
        </is>
      </c>
      <c r="C309" s="0" t="inlineStr">
        <is>
          <t>盧天欣</t>
        </is>
      </c>
      <c r="D309" s="0" t="inlineStr">
        <is>
          <t>2026/03/02</t>
        </is>
      </c>
      <c r="I309" s="0" t="n">
        <v>0</v>
      </c>
    </row>
    <row r="310">
      <c r="A310" s="0" t="inlineStr">
        <is>
          <t>香港專櫃課</t>
        </is>
      </c>
      <c r="B310" s="0" t="inlineStr">
        <is>
          <t>P0028</t>
        </is>
      </c>
      <c r="C310" s="0" t="inlineStr">
        <is>
          <t>盧天欣</t>
        </is>
      </c>
      <c r="D310" s="0" t="inlineStr">
        <is>
          <t>2026/03/03</t>
        </is>
      </c>
      <c r="I310" s="0" t="n">
        <v>0</v>
      </c>
    </row>
    <row r="311">
      <c r="A311" s="0" t="inlineStr">
        <is>
          <t>香港專櫃課</t>
        </is>
      </c>
      <c r="B311" s="0" t="inlineStr">
        <is>
          <t>P0028</t>
        </is>
      </c>
      <c r="C311" s="0" t="inlineStr">
        <is>
          <t>盧天欣</t>
        </is>
      </c>
      <c r="D311" s="0" t="inlineStr">
        <is>
          <t>2026/03/04</t>
        </is>
      </c>
      <c r="I311" s="0" t="n">
        <v>0</v>
      </c>
    </row>
    <row r="312">
      <c r="A312" s="0" t="inlineStr">
        <is>
          <t>香港專櫃課</t>
        </is>
      </c>
      <c r="B312" s="0" t="inlineStr">
        <is>
          <t>P0028</t>
        </is>
      </c>
      <c r="C312" s="0" t="inlineStr">
        <is>
          <t>盧天欣</t>
        </is>
      </c>
      <c r="D312" s="0" t="inlineStr">
        <is>
          <t>2026/03/05</t>
        </is>
      </c>
      <c r="I312" s="0" t="n">
        <v>0</v>
      </c>
    </row>
    <row r="313">
      <c r="A313" s="0" t="inlineStr">
        <is>
          <t>香港專櫃課</t>
        </is>
      </c>
      <c r="B313" s="0" t="inlineStr">
        <is>
          <t>P0028</t>
        </is>
      </c>
      <c r="C313" s="0" t="inlineStr">
        <is>
          <t>盧天欣</t>
        </is>
      </c>
      <c r="D313" s="0" t="inlineStr">
        <is>
          <t>2026/03/06</t>
        </is>
      </c>
      <c r="I313" s="0" t="n">
        <v>0</v>
      </c>
    </row>
    <row r="314">
      <c r="A314" s="0" t="inlineStr">
        <is>
          <t>香港專櫃課</t>
        </is>
      </c>
      <c r="B314" s="0" t="inlineStr">
        <is>
          <t>P0028</t>
        </is>
      </c>
      <c r="C314" s="0" t="inlineStr">
        <is>
          <t>盧天欣</t>
        </is>
      </c>
      <c r="D314" s="0" t="inlineStr">
        <is>
          <t>2026/03/07</t>
        </is>
      </c>
      <c r="I314" s="0" t="n">
        <v>0</v>
      </c>
    </row>
    <row r="315">
      <c r="A315" s="0" t="inlineStr">
        <is>
          <t>香港專櫃課</t>
        </is>
      </c>
      <c r="B315" s="0" t="inlineStr">
        <is>
          <t>P0028</t>
        </is>
      </c>
      <c r="C315" s="0" t="inlineStr">
        <is>
          <t>盧天欣</t>
        </is>
      </c>
      <c r="D315" s="0" t="inlineStr">
        <is>
          <t>2026/03/08</t>
        </is>
      </c>
      <c r="I315" s="0" t="n">
        <v>0</v>
      </c>
    </row>
    <row r="316">
      <c r="A316" s="0" t="inlineStr">
        <is>
          <t>香港專櫃課</t>
        </is>
      </c>
      <c r="B316" s="0" t="inlineStr">
        <is>
          <t>P0028</t>
        </is>
      </c>
      <c r="C316" s="0" t="inlineStr">
        <is>
          <t>盧天欣</t>
        </is>
      </c>
      <c r="D316" s="0" t="inlineStr">
        <is>
          <t>2026/03/09</t>
        </is>
      </c>
      <c r="I316" s="0" t="n">
        <v>0</v>
      </c>
    </row>
    <row r="317">
      <c r="A317" s="0" t="inlineStr">
        <is>
          <t>香港專櫃課</t>
        </is>
      </c>
      <c r="B317" s="0" t="inlineStr">
        <is>
          <t>P0028</t>
        </is>
      </c>
      <c r="C317" s="0" t="inlineStr">
        <is>
          <t>盧天欣</t>
        </is>
      </c>
      <c r="D317" s="0" t="inlineStr">
        <is>
          <t>2026/03/10</t>
        </is>
      </c>
      <c r="I317" s="0" t="n">
        <v>0</v>
      </c>
    </row>
    <row r="318">
      <c r="A318" s="0" t="inlineStr">
        <is>
          <t>香港專櫃課</t>
        </is>
      </c>
      <c r="B318" s="0" t="inlineStr">
        <is>
          <t>P0028</t>
        </is>
      </c>
      <c r="C318" s="0" t="inlineStr">
        <is>
          <t>盧天欣</t>
        </is>
      </c>
      <c r="D318" s="0" t="inlineStr">
        <is>
          <t>2026/03/11</t>
        </is>
      </c>
      <c r="I318" s="0" t="n">
        <v>0</v>
      </c>
    </row>
    <row r="319">
      <c r="A319" s="0" t="inlineStr">
        <is>
          <t>香港專櫃課</t>
        </is>
      </c>
      <c r="B319" s="0" t="inlineStr">
        <is>
          <t>P0028</t>
        </is>
      </c>
      <c r="C319" s="0" t="inlineStr">
        <is>
          <t>盧天欣</t>
        </is>
      </c>
      <c r="D319" s="0" t="inlineStr">
        <is>
          <t>2026/03/12</t>
        </is>
      </c>
      <c r="E319" s="0" t="inlineStr">
        <is>
          <t>上班</t>
        </is>
      </c>
      <c r="F319" s="0" t="inlineStr">
        <is>
          <t>職前訓練</t>
        </is>
      </c>
      <c r="G319" s="0" t="inlineStr">
        <is>
          <t>18:00</t>
        </is>
      </c>
      <c r="H319" s="0" t="inlineStr">
        <is>
          <t>20:00</t>
        </is>
      </c>
      <c r="I319" s="0" t="n">
        <v>2</v>
      </c>
      <c r="J319" s="0" t="inlineStr">
        <is>
          <t>18:00</t>
        </is>
      </c>
      <c r="K319" s="0" t="inlineStr">
        <is>
          <t>20:00</t>
        </is>
      </c>
      <c r="L319" s="0" t="inlineStr">
        <is>
          <t>否</t>
        </is>
      </c>
    </row>
    <row r="320">
      <c r="A320" s="0" t="inlineStr">
        <is>
          <t>香港專櫃課</t>
        </is>
      </c>
      <c r="B320" s="0" t="inlineStr">
        <is>
          <t>P0028</t>
        </is>
      </c>
      <c r="C320" s="0" t="inlineStr">
        <is>
          <t>盧天欣</t>
        </is>
      </c>
      <c r="D320" s="0" t="inlineStr">
        <is>
          <t>2026/03/13</t>
        </is>
      </c>
      <c r="I320" s="0" t="n">
        <v>0</v>
      </c>
    </row>
    <row r="321">
      <c r="A321" s="0" t="inlineStr">
        <is>
          <t>香港專櫃課</t>
        </is>
      </c>
      <c r="B321" s="0" t="inlineStr">
        <is>
          <t>P0028</t>
        </is>
      </c>
      <c r="C321" s="0" t="inlineStr">
        <is>
          <t>盧天欣</t>
        </is>
      </c>
      <c r="D321" s="0" t="inlineStr">
        <is>
          <t>2026/03/14</t>
        </is>
      </c>
      <c r="E321" s="0" t="inlineStr">
        <is>
          <t>上班</t>
        </is>
      </c>
      <c r="F321" s="0" t="inlineStr">
        <is>
          <t>香港晚班</t>
        </is>
      </c>
      <c r="G321" s="0" t="inlineStr">
        <is>
          <t>19:00</t>
        </is>
      </c>
      <c r="H321" s="0" t="inlineStr">
        <is>
          <t>21:00</t>
        </is>
      </c>
      <c r="I321" s="0" t="n">
        <v>2</v>
      </c>
      <c r="J321" s="0" t="inlineStr">
        <is>
          <t>19:00</t>
        </is>
      </c>
      <c r="K321" s="0" t="inlineStr">
        <is>
          <t>21:00</t>
        </is>
      </c>
      <c r="L321" s="0" t="inlineStr">
        <is>
          <t>否</t>
        </is>
      </c>
    </row>
    <row r="322">
      <c r="A322" s="0" t="inlineStr">
        <is>
          <t>香港專櫃課</t>
        </is>
      </c>
      <c r="B322" s="0" t="inlineStr">
        <is>
          <t>P0028</t>
        </is>
      </c>
      <c r="C322" s="0" t="inlineStr">
        <is>
          <t>盧天欣</t>
        </is>
      </c>
      <c r="D322" s="0" t="inlineStr">
        <is>
          <t>2026/03/15</t>
        </is>
      </c>
      <c r="E322" s="0" t="inlineStr">
        <is>
          <t>上班</t>
        </is>
      </c>
      <c r="F322" s="0" t="inlineStr">
        <is>
          <t>職前訓練</t>
        </is>
      </c>
      <c r="G322" s="0" t="inlineStr">
        <is>
          <t>18:00</t>
        </is>
      </c>
      <c r="H322" s="0" t="inlineStr">
        <is>
          <t>20:00</t>
        </is>
      </c>
      <c r="I322" s="0" t="n">
        <v>2</v>
      </c>
      <c r="J322" s="0" t="inlineStr">
        <is>
          <t>18:00</t>
        </is>
      </c>
      <c r="K322" s="0" t="inlineStr">
        <is>
          <t>20:00</t>
        </is>
      </c>
      <c r="L322" s="0" t="inlineStr">
        <is>
          <t>否</t>
        </is>
      </c>
    </row>
    <row r="323">
      <c r="A323" s="0" t="inlineStr">
        <is>
          <t>香港專櫃課</t>
        </is>
      </c>
      <c r="B323" s="0" t="inlineStr">
        <is>
          <t>P0028</t>
        </is>
      </c>
      <c r="C323" s="0" t="inlineStr">
        <is>
          <t>盧天欣</t>
        </is>
      </c>
      <c r="D323" s="0" t="inlineStr">
        <is>
          <t>2026/03/16</t>
        </is>
      </c>
      <c r="I323" s="0" t="n">
        <v>0</v>
      </c>
    </row>
    <row r="324">
      <c r="A324" s="0" t="inlineStr">
        <is>
          <t>香港專櫃課</t>
        </is>
      </c>
      <c r="B324" s="0" t="inlineStr">
        <is>
          <t>P0028</t>
        </is>
      </c>
      <c r="C324" s="0" t="inlineStr">
        <is>
          <t>盧天欣</t>
        </is>
      </c>
      <c r="D324" s="0" t="inlineStr">
        <is>
          <t>2026/03/17</t>
        </is>
      </c>
      <c r="I324" s="0" t="n">
        <v>0</v>
      </c>
    </row>
    <row r="325">
      <c r="A325" s="0" t="inlineStr">
        <is>
          <t>香港專櫃課</t>
        </is>
      </c>
      <c r="B325" s="0" t="inlineStr">
        <is>
          <t>P0028</t>
        </is>
      </c>
      <c r="C325" s="0" t="inlineStr">
        <is>
          <t>盧天欣</t>
        </is>
      </c>
      <c r="D325" s="0" t="inlineStr">
        <is>
          <t>2026/03/18</t>
        </is>
      </c>
      <c r="I325" s="0" t="n">
        <v>0</v>
      </c>
    </row>
    <row r="326">
      <c r="A326" s="0" t="inlineStr">
        <is>
          <t>香港專櫃課</t>
        </is>
      </c>
      <c r="B326" s="0" t="inlineStr">
        <is>
          <t>P0028</t>
        </is>
      </c>
      <c r="C326" s="0" t="inlineStr">
        <is>
          <t>盧天欣</t>
        </is>
      </c>
      <c r="D326" s="0" t="inlineStr">
        <is>
          <t>2026/03/19</t>
        </is>
      </c>
      <c r="E326" s="0" t="inlineStr">
        <is>
          <t>月休</t>
        </is>
      </c>
      <c r="I326" s="0" t="n">
        <v>0</v>
      </c>
    </row>
    <row r="327">
      <c r="A327" s="0" t="inlineStr">
        <is>
          <t>香港專櫃課</t>
        </is>
      </c>
      <c r="B327" s="0" t="inlineStr">
        <is>
          <t>P0028</t>
        </is>
      </c>
      <c r="C327" s="0" t="inlineStr">
        <is>
          <t>盧天欣</t>
        </is>
      </c>
      <c r="D327" s="0" t="inlineStr">
        <is>
          <t>2026/03/20</t>
        </is>
      </c>
      <c r="E327" s="0" t="inlineStr">
        <is>
          <t>月休</t>
        </is>
      </c>
      <c r="I327" s="0" t="n">
        <v>0</v>
      </c>
    </row>
    <row r="328">
      <c r="A328" s="0" t="inlineStr">
        <is>
          <t>香港專櫃課</t>
        </is>
      </c>
      <c r="B328" s="0" t="inlineStr">
        <is>
          <t>P0028</t>
        </is>
      </c>
      <c r="C328" s="0" t="inlineStr">
        <is>
          <t>盧天欣</t>
        </is>
      </c>
      <c r="D328" s="0" t="inlineStr">
        <is>
          <t>2026/03/21</t>
        </is>
      </c>
      <c r="E328" s="0" t="inlineStr">
        <is>
          <t>上班</t>
        </is>
      </c>
      <c r="F328" s="0" t="inlineStr">
        <is>
          <t>香港早班</t>
        </is>
      </c>
      <c r="G328" s="0" t="inlineStr">
        <is>
          <t>09:30</t>
        </is>
      </c>
      <c r="H328" s="0" t="inlineStr">
        <is>
          <t>16:30</t>
        </is>
      </c>
      <c r="I328" s="0" t="n">
        <v>7</v>
      </c>
      <c r="J328" s="0" t="inlineStr">
        <is>
          <t>09:30</t>
        </is>
      </c>
      <c r="K328" s="0" t="inlineStr">
        <is>
          <t>16:30</t>
        </is>
      </c>
      <c r="L328" s="0" t="inlineStr">
        <is>
          <t>否</t>
        </is>
      </c>
    </row>
    <row r="329">
      <c r="A329" s="0" t="inlineStr">
        <is>
          <t>香港專櫃課</t>
        </is>
      </c>
      <c r="B329" s="0" t="inlineStr">
        <is>
          <t>P0028</t>
        </is>
      </c>
      <c r="C329" s="0" t="inlineStr">
        <is>
          <t>盧天欣</t>
        </is>
      </c>
      <c r="D329" s="0" t="inlineStr">
        <is>
          <t>2026/03/22</t>
        </is>
      </c>
      <c r="E329" s="0" t="inlineStr">
        <is>
          <t>上班</t>
        </is>
      </c>
      <c r="F329" s="0" t="inlineStr">
        <is>
          <t>香港早班</t>
        </is>
      </c>
      <c r="G329" s="0" t="inlineStr">
        <is>
          <t>09:30</t>
        </is>
      </c>
      <c r="H329" s="0" t="inlineStr">
        <is>
          <t>16:30</t>
        </is>
      </c>
      <c r="I329" s="0" t="n">
        <v>7</v>
      </c>
      <c r="J329" s="0" t="inlineStr">
        <is>
          <t>09:30</t>
        </is>
      </c>
      <c r="K329" s="0" t="inlineStr">
        <is>
          <t>16:30</t>
        </is>
      </c>
      <c r="L329" s="0" t="inlineStr">
        <is>
          <t>否</t>
        </is>
      </c>
    </row>
    <row r="330">
      <c r="A330" s="0" t="inlineStr">
        <is>
          <t>香港專櫃課</t>
        </is>
      </c>
      <c r="B330" s="0" t="inlineStr">
        <is>
          <t>P0028</t>
        </is>
      </c>
      <c r="C330" s="0" t="inlineStr">
        <is>
          <t>盧天欣</t>
        </is>
      </c>
      <c r="D330" s="0" t="inlineStr">
        <is>
          <t>2026/03/23</t>
        </is>
      </c>
      <c r="E330" s="0" t="inlineStr">
        <is>
          <t>月休</t>
        </is>
      </c>
      <c r="I330" s="0" t="n">
        <v>0</v>
      </c>
    </row>
    <row r="331">
      <c r="A331" s="0" t="inlineStr">
        <is>
          <t>香港專櫃課</t>
        </is>
      </c>
      <c r="B331" s="0" t="inlineStr">
        <is>
          <t>P0028</t>
        </is>
      </c>
      <c r="C331" s="0" t="inlineStr">
        <is>
          <t>盧天欣</t>
        </is>
      </c>
      <c r="D331" s="0" t="inlineStr">
        <is>
          <t>2026/03/24</t>
        </is>
      </c>
      <c r="E331" s="0" t="inlineStr">
        <is>
          <t>上班</t>
        </is>
      </c>
      <c r="F331" s="0" t="inlineStr">
        <is>
          <t>香港晚班</t>
        </is>
      </c>
      <c r="G331" s="0" t="inlineStr">
        <is>
          <t>16:00</t>
        </is>
      </c>
      <c r="H331" s="0" t="inlineStr">
        <is>
          <t>21:00</t>
        </is>
      </c>
      <c r="I331" s="0" t="n">
        <v>5</v>
      </c>
      <c r="J331" s="0" t="inlineStr">
        <is>
          <t>16:00</t>
        </is>
      </c>
      <c r="K331" s="0" t="inlineStr">
        <is>
          <t>21:00</t>
        </is>
      </c>
      <c r="L331" s="0" t="inlineStr">
        <is>
          <t>否</t>
        </is>
      </c>
    </row>
    <row r="332">
      <c r="A332" s="0" t="inlineStr">
        <is>
          <t>香港專櫃課</t>
        </is>
      </c>
      <c r="B332" s="0" t="inlineStr">
        <is>
          <t>P0028</t>
        </is>
      </c>
      <c r="C332" s="0" t="inlineStr">
        <is>
          <t>盧天欣</t>
        </is>
      </c>
      <c r="D332" s="0" t="inlineStr">
        <is>
          <t>2026/03/25</t>
        </is>
      </c>
      <c r="E332" s="0" t="inlineStr">
        <is>
          <t>月休</t>
        </is>
      </c>
      <c r="I332" s="0" t="n">
        <v>0</v>
      </c>
    </row>
    <row r="333">
      <c r="A333" s="0" t="inlineStr">
        <is>
          <t>香港專櫃課</t>
        </is>
      </c>
      <c r="B333" s="0" t="inlineStr">
        <is>
          <t>P0028</t>
        </is>
      </c>
      <c r="C333" s="0" t="inlineStr">
        <is>
          <t>盧天欣</t>
        </is>
      </c>
      <c r="D333" s="0" t="inlineStr">
        <is>
          <t>2026/03/26</t>
        </is>
      </c>
      <c r="E333" s="0" t="inlineStr">
        <is>
          <t>上班</t>
        </is>
      </c>
      <c r="F333" s="0" t="inlineStr">
        <is>
          <t>香港晚班</t>
        </is>
      </c>
      <c r="G333" s="0" t="inlineStr">
        <is>
          <t>16:00</t>
        </is>
      </c>
      <c r="H333" s="0" t="inlineStr">
        <is>
          <t>21:00</t>
        </is>
      </c>
      <c r="I333" s="0" t="n">
        <v>5</v>
      </c>
      <c r="J333" s="0" t="inlineStr">
        <is>
          <t>16:00</t>
        </is>
      </c>
      <c r="K333" s="0" t="inlineStr">
        <is>
          <t>21:00</t>
        </is>
      </c>
      <c r="L333" s="0" t="inlineStr">
        <is>
          <t>否</t>
        </is>
      </c>
    </row>
    <row r="334">
      <c r="A334" s="0" t="inlineStr">
        <is>
          <t>香港專櫃課</t>
        </is>
      </c>
      <c r="B334" s="0" t="inlineStr">
        <is>
          <t>P0028</t>
        </is>
      </c>
      <c r="C334" s="0" t="inlineStr">
        <is>
          <t>盧天欣</t>
        </is>
      </c>
      <c r="D334" s="0" t="inlineStr">
        <is>
          <t>2026/03/27</t>
        </is>
      </c>
      <c r="E334" s="0" t="inlineStr">
        <is>
          <t>月休</t>
        </is>
      </c>
      <c r="I334" s="0" t="n">
        <v>0</v>
      </c>
    </row>
    <row r="335">
      <c r="A335" s="0" t="inlineStr">
        <is>
          <t>香港專櫃課</t>
        </is>
      </c>
      <c r="B335" s="0" t="inlineStr">
        <is>
          <t>P0028</t>
        </is>
      </c>
      <c r="C335" s="0" t="inlineStr">
        <is>
          <t>盧天欣</t>
        </is>
      </c>
      <c r="D335" s="0" t="inlineStr">
        <is>
          <t>2026/03/28</t>
        </is>
      </c>
      <c r="E335" s="0" t="inlineStr">
        <is>
          <t>上班</t>
        </is>
      </c>
      <c r="F335" s="0" t="inlineStr">
        <is>
          <t>香港早班</t>
        </is>
      </c>
      <c r="G335" s="0" t="inlineStr">
        <is>
          <t>10:30</t>
        </is>
      </c>
      <c r="H335" s="0" t="inlineStr">
        <is>
          <t>16:30</t>
        </is>
      </c>
      <c r="I335" s="0" t="n">
        <v>6</v>
      </c>
      <c r="J335" s="0" t="inlineStr">
        <is>
          <t>10:30</t>
        </is>
      </c>
      <c r="K335" s="0" t="inlineStr">
        <is>
          <t>16:30</t>
        </is>
      </c>
      <c r="L335" s="0" t="inlineStr">
        <is>
          <t>否</t>
        </is>
      </c>
    </row>
    <row r="336">
      <c r="A336" s="0" t="inlineStr">
        <is>
          <t>香港專櫃課</t>
        </is>
      </c>
      <c r="B336" s="0" t="inlineStr">
        <is>
          <t>P0028</t>
        </is>
      </c>
      <c r="C336" s="0" t="inlineStr">
        <is>
          <t>盧天欣</t>
        </is>
      </c>
      <c r="D336" s="0" t="inlineStr">
        <is>
          <t>2026/03/29</t>
        </is>
      </c>
      <c r="E336" s="0" t="inlineStr">
        <is>
          <t>月休</t>
        </is>
      </c>
      <c r="I336" s="0" t="n">
        <v>0</v>
      </c>
    </row>
    <row r="337">
      <c r="A337" s="0" t="inlineStr">
        <is>
          <t>香港專櫃課</t>
        </is>
      </c>
      <c r="B337" s="0" t="inlineStr">
        <is>
          <t>P0028</t>
        </is>
      </c>
      <c r="C337" s="0" t="inlineStr">
        <is>
          <t>盧天欣</t>
        </is>
      </c>
      <c r="D337" s="0" t="inlineStr">
        <is>
          <t>2026/03/30</t>
        </is>
      </c>
      <c r="E337" s="0" t="inlineStr">
        <is>
          <t>月休</t>
        </is>
      </c>
      <c r="I337" s="0" t="n">
        <v>0</v>
      </c>
    </row>
    <row r="338">
      <c r="A338" s="0" t="inlineStr">
        <is>
          <t>香港專櫃課</t>
        </is>
      </c>
      <c r="B338" s="0" t="inlineStr">
        <is>
          <t>P0028</t>
        </is>
      </c>
      <c r="C338" s="0" t="inlineStr">
        <is>
          <t>盧天欣</t>
        </is>
      </c>
      <c r="D338" s="0" t="inlineStr">
        <is>
          <t>2026/03/31</t>
        </is>
      </c>
      <c r="E338" s="0" t="inlineStr">
        <is>
          <t>上班</t>
        </is>
      </c>
      <c r="F338" s="0" t="inlineStr">
        <is>
          <t>香港早班</t>
        </is>
      </c>
      <c r="G338" s="0" t="inlineStr">
        <is>
          <t>10:30</t>
        </is>
      </c>
      <c r="H338" s="0" t="inlineStr">
        <is>
          <t>16:30</t>
        </is>
      </c>
      <c r="I338" s="0" t="n">
        <v>6</v>
      </c>
      <c r="J338" s="0" t="inlineStr">
        <is>
          <t>10:30</t>
        </is>
      </c>
      <c r="K338" s="0" t="inlineStr">
        <is>
          <t>16:30</t>
        </is>
      </c>
      <c r="L338" s="0" t="inlineStr">
        <is>
          <t>否</t>
        </is>
      </c>
    </row>
    <row r="339">
      <c r="A339" s="0" t="inlineStr">
        <is>
          <t>香港專櫃課</t>
        </is>
      </c>
      <c r="B339" s="0" t="inlineStr">
        <is>
          <t>P0028</t>
        </is>
      </c>
      <c r="C339" s="0" t="inlineStr">
        <is>
          <t>盧天欣</t>
        </is>
      </c>
      <c r="D339" s="0" t="inlineStr">
        <is>
          <t>2026/04/01</t>
        </is>
      </c>
      <c r="E339" s="0" t="inlineStr">
        <is>
          <t>月休</t>
        </is>
      </c>
      <c r="I339" s="0" t="n">
        <v>0</v>
      </c>
    </row>
    <row r="340">
      <c r="A340" s="0" t="inlineStr">
        <is>
          <t>香港專櫃課</t>
        </is>
      </c>
      <c r="B340" s="0" t="inlineStr">
        <is>
          <t>P0028</t>
        </is>
      </c>
      <c r="C340" s="0" t="inlineStr">
        <is>
          <t>盧天欣</t>
        </is>
      </c>
      <c r="D340" s="0" t="inlineStr">
        <is>
          <t>2026/04/02</t>
        </is>
      </c>
      <c r="E340" s="0" t="inlineStr">
        <is>
          <t>月休</t>
        </is>
      </c>
      <c r="I340" s="0" t="n">
        <v>0</v>
      </c>
    </row>
    <row r="341">
      <c r="A341" s="0" t="inlineStr">
        <is>
          <t>香港專櫃課</t>
        </is>
      </c>
      <c r="B341" s="0" t="inlineStr">
        <is>
          <t>P0028</t>
        </is>
      </c>
      <c r="C341" s="0" t="inlineStr">
        <is>
          <t>盧天欣</t>
        </is>
      </c>
      <c r="D341" s="0" t="inlineStr">
        <is>
          <t>2026/04/03</t>
        </is>
      </c>
      <c r="E341" s="0" t="inlineStr">
        <is>
          <t>上班</t>
        </is>
      </c>
      <c r="F341" s="0" t="inlineStr">
        <is>
          <t>特殊晚班</t>
        </is>
      </c>
      <c r="G341" s="0" t="inlineStr">
        <is>
          <t>14:30</t>
        </is>
      </c>
      <c r="H341" s="0" t="inlineStr">
        <is>
          <t>19:30</t>
        </is>
      </c>
      <c r="I341" s="0" t="n">
        <v>5</v>
      </c>
      <c r="J341" s="0" t="inlineStr">
        <is>
          <t>14:30</t>
        </is>
      </c>
      <c r="K341" s="0" t="inlineStr">
        <is>
          <t>19:30</t>
        </is>
      </c>
      <c r="L341" s="0" t="inlineStr">
        <is>
          <t>否</t>
        </is>
      </c>
    </row>
    <row r="342">
      <c r="A342" s="0" t="inlineStr">
        <is>
          <t>香港專櫃課</t>
        </is>
      </c>
      <c r="B342" s="0" t="inlineStr">
        <is>
          <t>P0028</t>
        </is>
      </c>
      <c r="C342" s="0" t="inlineStr">
        <is>
          <t>盧天欣</t>
        </is>
      </c>
      <c r="D342" s="0" t="inlineStr">
        <is>
          <t>2026/04/04</t>
        </is>
      </c>
      <c r="E342" s="0" t="inlineStr">
        <is>
          <t>國定假日</t>
        </is>
      </c>
      <c r="I342" s="0" t="n">
        <v>0</v>
      </c>
    </row>
    <row r="343">
      <c r="A343" s="0" t="inlineStr">
        <is>
          <t>香港專櫃課</t>
        </is>
      </c>
      <c r="B343" s="0" t="inlineStr">
        <is>
          <t>P0028</t>
        </is>
      </c>
      <c r="C343" s="0" t="inlineStr">
        <is>
          <t>盧天欣</t>
        </is>
      </c>
      <c r="D343" s="0" t="inlineStr">
        <is>
          <t>2026/04/05</t>
        </is>
      </c>
      <c r="E343" s="0" t="inlineStr">
        <is>
          <t>上班</t>
        </is>
      </c>
      <c r="F343" s="0" t="inlineStr">
        <is>
          <t>香港早班</t>
        </is>
      </c>
      <c r="G343" s="0" t="inlineStr">
        <is>
          <t>10:30</t>
        </is>
      </c>
      <c r="H343" s="0" t="inlineStr">
        <is>
          <t>16:30</t>
        </is>
      </c>
      <c r="I343" s="0" t="n">
        <v>6</v>
      </c>
      <c r="J343" s="0" t="inlineStr">
        <is>
          <t>10:30</t>
        </is>
      </c>
      <c r="K343" s="0" t="inlineStr">
        <is>
          <t>16:30</t>
        </is>
      </c>
      <c r="L343" s="0" t="inlineStr">
        <is>
          <t>否</t>
        </is>
      </c>
    </row>
    <row r="344">
      <c r="A344" s="0" t="inlineStr">
        <is>
          <t>香港專櫃課</t>
        </is>
      </c>
      <c r="B344" s="0" t="inlineStr">
        <is>
          <t>P0028</t>
        </is>
      </c>
      <c r="C344" s="0" t="inlineStr">
        <is>
          <t>盧天欣</t>
        </is>
      </c>
      <c r="D344" s="0" t="inlineStr">
        <is>
          <t>2026/04/06</t>
        </is>
      </c>
      <c r="E344" s="0" t="inlineStr">
        <is>
          <t>上班</t>
        </is>
      </c>
      <c r="F344" s="0" t="inlineStr">
        <is>
          <t>香港ALL班</t>
        </is>
      </c>
      <c r="G344" s="0" t="inlineStr">
        <is>
          <t>10:30</t>
        </is>
      </c>
      <c r="H344" s="0" t="inlineStr">
        <is>
          <t>21:00</t>
        </is>
      </c>
      <c r="I344" s="0" t="n">
        <v>10.5</v>
      </c>
      <c r="J344" s="0" t="inlineStr">
        <is>
          <t>10:30</t>
        </is>
      </c>
      <c r="K344" s="0" t="inlineStr">
        <is>
          <t>21:00</t>
        </is>
      </c>
      <c r="L344" s="0" t="inlineStr">
        <is>
          <t>否</t>
        </is>
      </c>
    </row>
    <row r="345">
      <c r="A345" s="0" t="inlineStr">
        <is>
          <t>香港專櫃課</t>
        </is>
      </c>
      <c r="B345" s="0" t="inlineStr">
        <is>
          <t>P0028</t>
        </is>
      </c>
      <c r="C345" s="0" t="inlineStr">
        <is>
          <t>盧天欣</t>
        </is>
      </c>
      <c r="D345" s="0" t="inlineStr">
        <is>
          <t>2026/04/07</t>
        </is>
      </c>
      <c r="E345" s="0" t="inlineStr">
        <is>
          <t>國定假日</t>
        </is>
      </c>
      <c r="I345" s="0" t="n">
        <v>0</v>
      </c>
    </row>
    <row r="346">
      <c r="A346" s="0" t="inlineStr">
        <is>
          <t>香港專櫃課</t>
        </is>
      </c>
      <c r="B346" s="0" t="inlineStr">
        <is>
          <t>P0028</t>
        </is>
      </c>
      <c r="C346" s="0" t="inlineStr">
        <is>
          <t>盧天欣</t>
        </is>
      </c>
      <c r="D346" s="0" t="inlineStr">
        <is>
          <t>2026/04/08</t>
        </is>
      </c>
      <c r="E346" s="0" t="inlineStr">
        <is>
          <t>月休</t>
        </is>
      </c>
      <c r="I346" s="0" t="n">
        <v>0</v>
      </c>
    </row>
    <row r="347">
      <c r="A347" s="0" t="inlineStr">
        <is>
          <t>香港專櫃課</t>
        </is>
      </c>
      <c r="B347" s="0" t="inlineStr">
        <is>
          <t>P0028</t>
        </is>
      </c>
      <c r="C347" s="0" t="inlineStr">
        <is>
          <t>盧天欣</t>
        </is>
      </c>
      <c r="D347" s="0" t="inlineStr">
        <is>
          <t>2026/04/09</t>
        </is>
      </c>
      <c r="E347" s="0" t="inlineStr">
        <is>
          <t>上班</t>
        </is>
      </c>
      <c r="F347" s="0" t="inlineStr">
        <is>
          <t>香港晚班</t>
        </is>
      </c>
      <c r="G347" s="0" t="inlineStr">
        <is>
          <t>16:00</t>
        </is>
      </c>
      <c r="H347" s="0" t="inlineStr">
        <is>
          <t>21:00</t>
        </is>
      </c>
      <c r="I347" s="0" t="n">
        <v>5</v>
      </c>
      <c r="J347" s="0" t="inlineStr">
        <is>
          <t>16:00</t>
        </is>
      </c>
      <c r="K347" s="0" t="inlineStr">
        <is>
          <t>21:00</t>
        </is>
      </c>
      <c r="L347" s="0" t="inlineStr">
        <is>
          <t>否</t>
        </is>
      </c>
    </row>
    <row r="348">
      <c r="A348" s="0" t="inlineStr">
        <is>
          <t>香港專櫃課</t>
        </is>
      </c>
      <c r="B348" s="0" t="inlineStr">
        <is>
          <t>P0028</t>
        </is>
      </c>
      <c r="C348" s="0" t="inlineStr">
        <is>
          <t>盧天欣</t>
        </is>
      </c>
      <c r="D348" s="0" t="inlineStr">
        <is>
          <t>2026/04/10</t>
        </is>
      </c>
      <c r="E348" s="0" t="inlineStr">
        <is>
          <t>月休</t>
        </is>
      </c>
      <c r="I348" s="0" t="n">
        <v>0</v>
      </c>
    </row>
    <row r="349">
      <c r="A349" s="0" t="inlineStr">
        <is>
          <t>香港專櫃課</t>
        </is>
      </c>
      <c r="B349" s="0" t="inlineStr">
        <is>
          <t>P0028</t>
        </is>
      </c>
      <c r="C349" s="0" t="inlineStr">
        <is>
          <t>盧天欣</t>
        </is>
      </c>
      <c r="D349" s="0" t="inlineStr">
        <is>
          <t>2026/04/11</t>
        </is>
      </c>
      <c r="E349" s="0" t="inlineStr">
        <is>
          <t>上班</t>
        </is>
      </c>
      <c r="F349" s="0" t="inlineStr">
        <is>
          <t>香港早班</t>
        </is>
      </c>
      <c r="G349" s="0" t="inlineStr">
        <is>
          <t>10:30</t>
        </is>
      </c>
      <c r="H349" s="0" t="inlineStr">
        <is>
          <t>16:30</t>
        </is>
      </c>
      <c r="I349" s="0" t="n">
        <v>6</v>
      </c>
      <c r="J349" s="0" t="inlineStr">
        <is>
          <t>10:30</t>
        </is>
      </c>
      <c r="K349" s="0" t="inlineStr">
        <is>
          <t>16:30</t>
        </is>
      </c>
      <c r="L349" s="0" t="inlineStr">
        <is>
          <t>否</t>
        </is>
      </c>
    </row>
    <row r="350">
      <c r="A350" s="0" t="inlineStr">
        <is>
          <t>香港專櫃課</t>
        </is>
      </c>
      <c r="B350" s="0" t="inlineStr">
        <is>
          <t>P0028</t>
        </is>
      </c>
      <c r="C350" s="0" t="inlineStr">
        <is>
          <t>盧天欣</t>
        </is>
      </c>
      <c r="D350" s="0" t="inlineStr">
        <is>
          <t>2026/04/12</t>
        </is>
      </c>
      <c r="E350" s="0" t="inlineStr">
        <is>
          <t>月休</t>
        </is>
      </c>
      <c r="I350" s="0" t="n">
        <v>0</v>
      </c>
    </row>
    <row r="351">
      <c r="A351" s="0" t="inlineStr">
        <is>
          <t>香港專櫃課</t>
        </is>
      </c>
      <c r="B351" s="0" t="inlineStr">
        <is>
          <t>P0028</t>
        </is>
      </c>
      <c r="C351" s="0" t="inlineStr">
        <is>
          <t>盧天欣</t>
        </is>
      </c>
      <c r="D351" s="0" t="inlineStr">
        <is>
          <t>2026/04/13</t>
        </is>
      </c>
      <c r="E351" s="0" t="inlineStr">
        <is>
          <t>上班</t>
        </is>
      </c>
      <c r="F351" s="0" t="inlineStr">
        <is>
          <t>特殊晚班</t>
        </is>
      </c>
      <c r="G351" s="0" t="inlineStr">
        <is>
          <t>17:30</t>
        </is>
      </c>
      <c r="H351" s="0" t="inlineStr">
        <is>
          <t>21:00</t>
        </is>
      </c>
      <c r="I351" s="0" t="n">
        <v>3.5</v>
      </c>
      <c r="J351" s="0" t="inlineStr">
        <is>
          <t>17:30</t>
        </is>
      </c>
      <c r="K351" s="0" t="inlineStr">
        <is>
          <t>21:00</t>
        </is>
      </c>
      <c r="L351" s="0" t="inlineStr">
        <is>
          <t>否</t>
        </is>
      </c>
    </row>
    <row r="352">
      <c r="A352" s="0" t="inlineStr">
        <is>
          <t>香港專櫃課</t>
        </is>
      </c>
      <c r="B352" s="0" t="inlineStr">
        <is>
          <t>P0028</t>
        </is>
      </c>
      <c r="C352" s="0" t="inlineStr">
        <is>
          <t>盧天欣</t>
        </is>
      </c>
      <c r="D352" s="0" t="inlineStr">
        <is>
          <t>2026/04/14</t>
        </is>
      </c>
      <c r="E352" s="0" t="inlineStr">
        <is>
          <t>月休</t>
        </is>
      </c>
      <c r="I352" s="0" t="n">
        <v>0</v>
      </c>
    </row>
    <row r="353">
      <c r="A353" s="0" t="inlineStr">
        <is>
          <t>香港專櫃課</t>
        </is>
      </c>
      <c r="B353" s="0" t="inlineStr">
        <is>
          <t>P0028</t>
        </is>
      </c>
      <c r="C353" s="0" t="inlineStr">
        <is>
          <t>盧天欣</t>
        </is>
      </c>
      <c r="D353" s="0" t="inlineStr">
        <is>
          <t>2026/04/15</t>
        </is>
      </c>
      <c r="E353" s="0" t="inlineStr">
        <is>
          <t>月休</t>
        </is>
      </c>
      <c r="I353" s="0" t="n">
        <v>0</v>
      </c>
    </row>
    <row r="354">
      <c r="A354" s="0" t="inlineStr">
        <is>
          <t>香港專櫃課</t>
        </is>
      </c>
      <c r="B354" s="0" t="inlineStr">
        <is>
          <t>P0028</t>
        </is>
      </c>
      <c r="C354" s="0" t="inlineStr">
        <is>
          <t>盧天欣</t>
        </is>
      </c>
      <c r="D354" s="0" t="inlineStr">
        <is>
          <t>2026/04/16</t>
        </is>
      </c>
      <c r="E354" s="0" t="inlineStr">
        <is>
          <t>月休</t>
        </is>
      </c>
      <c r="I354" s="0" t="n">
        <v>0</v>
      </c>
    </row>
    <row r="355">
      <c r="A355" s="0" t="inlineStr">
        <is>
          <t>香港專櫃課</t>
        </is>
      </c>
      <c r="B355" s="0" t="inlineStr">
        <is>
          <t>P0028</t>
        </is>
      </c>
      <c r="C355" s="0" t="inlineStr">
        <is>
          <t>盧天欣</t>
        </is>
      </c>
      <c r="D355" s="0" t="inlineStr">
        <is>
          <t>2026/04/17</t>
        </is>
      </c>
      <c r="E355" s="0" t="inlineStr">
        <is>
          <t>月休</t>
        </is>
      </c>
      <c r="I355" s="0" t="n">
        <v>0</v>
      </c>
    </row>
    <row r="356">
      <c r="A356" s="0" t="inlineStr">
        <is>
          <t>香港專櫃課</t>
        </is>
      </c>
      <c r="B356" s="0" t="inlineStr">
        <is>
          <t>P0028</t>
        </is>
      </c>
      <c r="C356" s="0" t="inlineStr">
        <is>
          <t>盧天欣</t>
        </is>
      </c>
      <c r="D356" s="0" t="inlineStr">
        <is>
          <t>2026/04/18</t>
        </is>
      </c>
      <c r="E356" s="0" t="inlineStr">
        <is>
          <t>月休</t>
        </is>
      </c>
      <c r="I356" s="0" t="n">
        <v>0</v>
      </c>
    </row>
    <row r="357">
      <c r="A357" s="0" t="inlineStr">
        <is>
          <t>香港專櫃課</t>
        </is>
      </c>
      <c r="B357" s="0" t="inlineStr">
        <is>
          <t>P0028</t>
        </is>
      </c>
      <c r="C357" s="0" t="inlineStr">
        <is>
          <t>盧天欣</t>
        </is>
      </c>
      <c r="D357" s="0" t="inlineStr">
        <is>
          <t>2026/04/19</t>
        </is>
      </c>
      <c r="E357" s="0" t="inlineStr">
        <is>
          <t>上班</t>
        </is>
      </c>
      <c r="F357" s="0" t="inlineStr">
        <is>
          <t>香港早班</t>
        </is>
      </c>
      <c r="G357" s="0" t="inlineStr">
        <is>
          <t>10:30</t>
        </is>
      </c>
      <c r="H357" s="0" t="inlineStr">
        <is>
          <t>16:30</t>
        </is>
      </c>
      <c r="I357" s="0" t="n">
        <v>6</v>
      </c>
      <c r="J357" s="0" t="inlineStr">
        <is>
          <t>10:30</t>
        </is>
      </c>
      <c r="K357" s="0" t="inlineStr">
        <is>
          <t>16:30</t>
        </is>
      </c>
      <c r="L357" s="0" t="inlineStr">
        <is>
          <t>否</t>
        </is>
      </c>
    </row>
    <row r="358">
      <c r="A358" s="0" t="inlineStr">
        <is>
          <t>香港專櫃課</t>
        </is>
      </c>
      <c r="B358" s="0" t="inlineStr">
        <is>
          <t>P0028</t>
        </is>
      </c>
      <c r="C358" s="0" t="inlineStr">
        <is>
          <t>盧天欣</t>
        </is>
      </c>
      <c r="D358" s="0" t="inlineStr">
        <is>
          <t>2026/04/20</t>
        </is>
      </c>
      <c r="E358" s="0" t="inlineStr">
        <is>
          <t>月休</t>
        </is>
      </c>
      <c r="I358" s="0" t="n">
        <v>0</v>
      </c>
    </row>
    <row r="359">
      <c r="A359" s="0" t="inlineStr">
        <is>
          <t>香港專櫃課</t>
        </is>
      </c>
      <c r="B359" s="0" t="inlineStr">
        <is>
          <t>P0028</t>
        </is>
      </c>
      <c r="C359" s="0" t="inlineStr">
        <is>
          <t>盧天欣</t>
        </is>
      </c>
      <c r="D359" s="0" t="inlineStr">
        <is>
          <t>2026/04/21</t>
        </is>
      </c>
      <c r="E359" s="0" t="inlineStr">
        <is>
          <t>月休</t>
        </is>
      </c>
      <c r="I359" s="0" t="n">
        <v>0</v>
      </c>
    </row>
    <row r="360">
      <c r="A360" s="0" t="inlineStr">
        <is>
          <t>香港專櫃課</t>
        </is>
      </c>
      <c r="B360" s="0" t="inlineStr">
        <is>
          <t>P0028</t>
        </is>
      </c>
      <c r="C360" s="0" t="inlineStr">
        <is>
          <t>盧天欣</t>
        </is>
      </c>
      <c r="D360" s="0" t="inlineStr">
        <is>
          <t>2026/04/22</t>
        </is>
      </c>
      <c r="E360" s="0" t="inlineStr">
        <is>
          <t>上班</t>
        </is>
      </c>
      <c r="F360" s="0" t="inlineStr">
        <is>
          <t>香港晚班</t>
        </is>
      </c>
      <c r="G360" s="0" t="inlineStr">
        <is>
          <t>16:00</t>
        </is>
      </c>
      <c r="H360" s="0" t="inlineStr">
        <is>
          <t>21:00</t>
        </is>
      </c>
      <c r="I360" s="0" t="n">
        <v>5</v>
      </c>
      <c r="J360" s="0" t="inlineStr">
        <is>
          <t>16:00</t>
        </is>
      </c>
      <c r="K360" s="0" t="inlineStr">
        <is>
          <t>21:00</t>
        </is>
      </c>
      <c r="L360" s="0" t="inlineStr">
        <is>
          <t>否</t>
        </is>
      </c>
    </row>
    <row r="361">
      <c r="A361" s="0" t="inlineStr">
        <is>
          <t>香港專櫃課</t>
        </is>
      </c>
      <c r="B361" s="0" t="inlineStr">
        <is>
          <t>P0028</t>
        </is>
      </c>
      <c r="C361" s="0" t="inlineStr">
        <is>
          <t>盧天欣</t>
        </is>
      </c>
      <c r="D361" s="0" t="inlineStr">
        <is>
          <t>2026/04/23</t>
        </is>
      </c>
      <c r="E361" s="0" t="inlineStr">
        <is>
          <t>上班</t>
        </is>
      </c>
      <c r="F361" s="0" t="inlineStr">
        <is>
          <t>香港ALL班</t>
        </is>
      </c>
      <c r="G361" s="0" t="inlineStr">
        <is>
          <t>10:30</t>
        </is>
      </c>
      <c r="H361" s="0" t="inlineStr">
        <is>
          <t>21:00</t>
        </is>
      </c>
      <c r="I361" s="0" t="n">
        <v>10.5</v>
      </c>
      <c r="J361" s="0" t="inlineStr">
        <is>
          <t>10:30</t>
        </is>
      </c>
      <c r="K361" s="0" t="inlineStr">
        <is>
          <t>21:00</t>
        </is>
      </c>
      <c r="L361" s="0" t="inlineStr">
        <is>
          <t>否</t>
        </is>
      </c>
    </row>
    <row r="362">
      <c r="A362" s="0" t="inlineStr">
        <is>
          <t>香港專櫃課</t>
        </is>
      </c>
      <c r="B362" s="0" t="inlineStr">
        <is>
          <t>P0028</t>
        </is>
      </c>
      <c r="C362" s="0" t="inlineStr">
        <is>
          <t>盧天欣</t>
        </is>
      </c>
      <c r="D362" s="0" t="inlineStr">
        <is>
          <t>2026/04/24</t>
        </is>
      </c>
      <c r="E362" s="0" t="inlineStr">
        <is>
          <t>月休</t>
        </is>
      </c>
      <c r="I362" s="0" t="n">
        <v>0</v>
      </c>
    </row>
    <row r="363">
      <c r="A363" s="0" t="inlineStr">
        <is>
          <t>香港專櫃課</t>
        </is>
      </c>
      <c r="B363" s="0" t="inlineStr">
        <is>
          <t>P0028</t>
        </is>
      </c>
      <c r="C363" s="0" t="inlineStr">
        <is>
          <t>盧天欣</t>
        </is>
      </c>
      <c r="D363" s="0" t="inlineStr">
        <is>
          <t>2026/04/25</t>
        </is>
      </c>
      <c r="E363" s="0" t="inlineStr">
        <is>
          <t>月休</t>
        </is>
      </c>
      <c r="I363" s="0" t="n">
        <v>0</v>
      </c>
    </row>
    <row r="364">
      <c r="A364" s="0" t="inlineStr">
        <is>
          <t>香港專櫃課</t>
        </is>
      </c>
      <c r="B364" s="0" t="inlineStr">
        <is>
          <t>P0028</t>
        </is>
      </c>
      <c r="C364" s="0" t="inlineStr">
        <is>
          <t>盧天欣</t>
        </is>
      </c>
      <c r="D364" s="0" t="inlineStr">
        <is>
          <t>2026/04/26</t>
        </is>
      </c>
      <c r="E364" s="0" t="inlineStr">
        <is>
          <t>月休</t>
        </is>
      </c>
      <c r="I364" s="0" t="n">
        <v>0</v>
      </c>
    </row>
    <row r="365">
      <c r="A365" s="0" t="inlineStr">
        <is>
          <t>香港專櫃課</t>
        </is>
      </c>
      <c r="B365" s="0" t="inlineStr">
        <is>
          <t>P0028</t>
        </is>
      </c>
      <c r="C365" s="0" t="inlineStr">
        <is>
          <t>盧天欣</t>
        </is>
      </c>
      <c r="D365" s="0" t="inlineStr">
        <is>
          <t>2026/04/27</t>
        </is>
      </c>
      <c r="E365" s="0" t="inlineStr">
        <is>
          <t>上班</t>
        </is>
      </c>
      <c r="F365" s="0" t="inlineStr">
        <is>
          <t>香港ALL班</t>
        </is>
      </c>
      <c r="G365" s="0" t="inlineStr">
        <is>
          <t>10:30</t>
        </is>
      </c>
      <c r="H365" s="0" t="inlineStr">
        <is>
          <t>21:00</t>
        </is>
      </c>
      <c r="I365" s="0" t="n">
        <v>10.5</v>
      </c>
      <c r="J365" s="0" t="inlineStr">
        <is>
          <t>10:30</t>
        </is>
      </c>
      <c r="K365" s="0" t="inlineStr">
        <is>
          <t>21:00</t>
        </is>
      </c>
      <c r="L365" s="0" t="inlineStr">
        <is>
          <t>否</t>
        </is>
      </c>
    </row>
    <row r="366">
      <c r="A366" s="0" t="inlineStr">
        <is>
          <t>香港專櫃課</t>
        </is>
      </c>
      <c r="B366" s="0" t="inlineStr">
        <is>
          <t>P0028</t>
        </is>
      </c>
      <c r="C366" s="0" t="inlineStr">
        <is>
          <t>盧天欣</t>
        </is>
      </c>
      <c r="D366" s="0" t="inlineStr">
        <is>
          <t>2026/04/28</t>
        </is>
      </c>
      <c r="E366" s="0" t="inlineStr">
        <is>
          <t>上班</t>
        </is>
      </c>
      <c r="F366" s="0" t="inlineStr">
        <is>
          <t>香港ALL班</t>
        </is>
      </c>
      <c r="G366" s="0" t="inlineStr">
        <is>
          <t>10:30</t>
        </is>
      </c>
      <c r="H366" s="0" t="inlineStr">
        <is>
          <t>21:00</t>
        </is>
      </c>
      <c r="I366" s="0" t="n">
        <v>10.5</v>
      </c>
      <c r="J366" s="0" t="inlineStr">
        <is>
          <t>10:30</t>
        </is>
      </c>
      <c r="K366" s="0" t="inlineStr">
        <is>
          <t>21:00</t>
        </is>
      </c>
      <c r="L366" s="0" t="inlineStr">
        <is>
          <t>否</t>
        </is>
      </c>
    </row>
    <row r="367">
      <c r="A367" s="0" t="inlineStr">
        <is>
          <t>香港專櫃課</t>
        </is>
      </c>
      <c r="B367" s="0" t="inlineStr">
        <is>
          <t>P0028</t>
        </is>
      </c>
      <c r="C367" s="0" t="inlineStr">
        <is>
          <t>盧天欣</t>
        </is>
      </c>
      <c r="D367" s="0" t="inlineStr">
        <is>
          <t>2026/04/29</t>
        </is>
      </c>
      <c r="E367" s="0" t="inlineStr">
        <is>
          <t>上班</t>
        </is>
      </c>
      <c r="F367" s="0" t="inlineStr">
        <is>
          <t>香港早班</t>
        </is>
      </c>
      <c r="G367" s="0" t="inlineStr">
        <is>
          <t>10:30</t>
        </is>
      </c>
      <c r="H367" s="0" t="inlineStr">
        <is>
          <t>16:30</t>
        </is>
      </c>
      <c r="I367" s="0" t="n">
        <v>6</v>
      </c>
      <c r="J367" s="0" t="inlineStr">
        <is>
          <t>10:30</t>
        </is>
      </c>
      <c r="K367" s="0" t="inlineStr">
        <is>
          <t>16:30</t>
        </is>
      </c>
      <c r="L367" s="0" t="inlineStr">
        <is>
          <t>否</t>
        </is>
      </c>
    </row>
    <row r="368">
      <c r="A368" s="0" t="inlineStr">
        <is>
          <t>香港專櫃課</t>
        </is>
      </c>
      <c r="B368" s="0" t="inlineStr">
        <is>
          <t>P0028</t>
        </is>
      </c>
      <c r="C368" s="0" t="inlineStr">
        <is>
          <t>盧天欣</t>
        </is>
      </c>
      <c r="D368" s="0" t="inlineStr">
        <is>
          <t>2026/04/30</t>
        </is>
      </c>
      <c r="E368" s="0" t="inlineStr">
        <is>
          <t>月休</t>
        </is>
      </c>
      <c r="I368" s="0" t="n">
        <v>0</v>
      </c>
    </row>
    <row r="369">
      <c r="A369" s="0" t="inlineStr">
        <is>
          <t>香港專櫃課</t>
        </is>
      </c>
      <c r="B369" s="0" t="inlineStr">
        <is>
          <t>P0028</t>
        </is>
      </c>
      <c r="C369" s="0" t="inlineStr">
        <is>
          <t>盧天欣</t>
        </is>
      </c>
      <c r="D369" s="0" t="inlineStr">
        <is>
          <t>2026/05/01</t>
        </is>
      </c>
      <c r="E369" s="0" t="inlineStr">
        <is>
          <t>國定假日</t>
        </is>
      </c>
      <c r="I369" s="0" t="n">
        <v>0</v>
      </c>
    </row>
    <row r="370">
      <c r="A370" s="0" t="inlineStr">
        <is>
          <t>香港專櫃課</t>
        </is>
      </c>
      <c r="B370" s="0" t="inlineStr">
        <is>
          <t>P0028</t>
        </is>
      </c>
      <c r="C370" s="0" t="inlineStr">
        <is>
          <t>盧天欣</t>
        </is>
      </c>
      <c r="D370" s="0" t="inlineStr">
        <is>
          <t>2026/05/02</t>
        </is>
      </c>
      <c r="E370" s="0" t="inlineStr">
        <is>
          <t>上班</t>
        </is>
      </c>
      <c r="F370" s="0" t="inlineStr">
        <is>
          <t>香港晚班</t>
        </is>
      </c>
      <c r="G370" s="0" t="inlineStr">
        <is>
          <t>16:00</t>
        </is>
      </c>
      <c r="H370" s="0" t="inlineStr">
        <is>
          <t>21:00</t>
        </is>
      </c>
      <c r="I370" s="0" t="n">
        <v>5</v>
      </c>
      <c r="J370" s="0" t="inlineStr">
        <is>
          <t>16:00</t>
        </is>
      </c>
      <c r="K370" s="0" t="inlineStr">
        <is>
          <t>21:00</t>
        </is>
      </c>
      <c r="L370" s="0" t="inlineStr">
        <is>
          <t>否</t>
        </is>
      </c>
    </row>
    <row r="371">
      <c r="A371" s="0" t="inlineStr">
        <is>
          <t>香港專櫃課</t>
        </is>
      </c>
      <c r="B371" s="0" t="inlineStr">
        <is>
          <t>P0028</t>
        </is>
      </c>
      <c r="C371" s="0" t="inlineStr">
        <is>
          <t>盧天欣</t>
        </is>
      </c>
      <c r="D371" s="0" t="inlineStr">
        <is>
          <t>2026/05/03</t>
        </is>
      </c>
      <c r="I371" s="0" t="n">
        <v>0</v>
      </c>
    </row>
    <row r="372">
      <c r="A372" s="0" t="inlineStr">
        <is>
          <t>香港專櫃課</t>
        </is>
      </c>
      <c r="B372" s="0" t="inlineStr">
        <is>
          <t>P0028</t>
        </is>
      </c>
      <c r="C372" s="0" t="inlineStr">
        <is>
          <t>盧天欣</t>
        </is>
      </c>
      <c r="D372" s="0" t="inlineStr">
        <is>
          <t>2026/05/04</t>
        </is>
      </c>
      <c r="I372" s="0" t="n">
        <v>0</v>
      </c>
    </row>
    <row r="373">
      <c r="A373" s="0" t="inlineStr">
        <is>
          <t>香港專櫃課</t>
        </is>
      </c>
      <c r="B373" s="0" t="inlineStr">
        <is>
          <t>P0028</t>
        </is>
      </c>
      <c r="C373" s="0" t="inlineStr">
        <is>
          <t>盧天欣</t>
        </is>
      </c>
      <c r="D373" s="0" t="inlineStr">
        <is>
          <t>2026/05/05</t>
        </is>
      </c>
      <c r="I373" s="0" t="n">
        <v>0</v>
      </c>
    </row>
    <row r="374">
      <c r="A374" s="0" t="inlineStr">
        <is>
          <t>香港專櫃課</t>
        </is>
      </c>
      <c r="B374" s="0" t="inlineStr">
        <is>
          <t>P0028</t>
        </is>
      </c>
      <c r="C374" s="0" t="inlineStr">
        <is>
          <t>盧天欣</t>
        </is>
      </c>
      <c r="D374" s="0" t="inlineStr">
        <is>
          <t>2026/05/06</t>
        </is>
      </c>
      <c r="I374" s="0" t="n">
        <v>0</v>
      </c>
    </row>
    <row r="375">
      <c r="A375" s="0" t="inlineStr">
        <is>
          <t>香港專櫃課</t>
        </is>
      </c>
      <c r="B375" s="0" t="inlineStr">
        <is>
          <t>P0028</t>
        </is>
      </c>
      <c r="C375" s="0" t="inlineStr">
        <is>
          <t>盧天欣</t>
        </is>
      </c>
      <c r="D375" s="0" t="inlineStr">
        <is>
          <t>2026/05/07</t>
        </is>
      </c>
      <c r="I375" s="0" t="n">
        <v>0</v>
      </c>
    </row>
    <row r="376">
      <c r="A376" s="0" t="inlineStr">
        <is>
          <t>香港專櫃課</t>
        </is>
      </c>
      <c r="B376" s="0" t="inlineStr">
        <is>
          <t>P0028</t>
        </is>
      </c>
      <c r="C376" s="0" t="inlineStr">
        <is>
          <t>盧天欣</t>
        </is>
      </c>
      <c r="D376" s="0" t="inlineStr">
        <is>
          <t>2026/05/08</t>
        </is>
      </c>
      <c r="I376" s="0" t="n">
        <v>0</v>
      </c>
    </row>
    <row r="377">
      <c r="A377" s="0" t="inlineStr">
        <is>
          <t>香港專櫃課</t>
        </is>
      </c>
      <c r="B377" s="0" t="inlineStr">
        <is>
          <t>P0028</t>
        </is>
      </c>
      <c r="C377" s="0" t="inlineStr">
        <is>
          <t>盧天欣</t>
        </is>
      </c>
      <c r="D377" s="0" t="inlineStr">
        <is>
          <t>2026/05/09</t>
        </is>
      </c>
      <c r="I377" s="0" t="n">
        <v>0</v>
      </c>
    </row>
    <row r="378">
      <c r="A378" s="0" t="inlineStr">
        <is>
          <t>香港專櫃課</t>
        </is>
      </c>
      <c r="B378" s="0" t="inlineStr">
        <is>
          <t>P0028</t>
        </is>
      </c>
      <c r="C378" s="0" t="inlineStr">
        <is>
          <t>盧天欣</t>
        </is>
      </c>
      <c r="D378" s="0" t="inlineStr">
        <is>
          <t>2026/05/10</t>
        </is>
      </c>
      <c r="I378" s="0" t="n">
        <v>0</v>
      </c>
    </row>
    <row r="379">
      <c r="A379" s="0" t="inlineStr">
        <is>
          <t>香港專櫃課</t>
        </is>
      </c>
      <c r="B379" s="0" t="inlineStr">
        <is>
          <t>P0028</t>
        </is>
      </c>
      <c r="C379" s="0" t="inlineStr">
        <is>
          <t>盧天欣</t>
        </is>
      </c>
      <c r="D379" s="0" t="inlineStr">
        <is>
          <t>2026/05/11</t>
        </is>
      </c>
      <c r="I379" s="0" t="n">
        <v>0</v>
      </c>
    </row>
    <row r="380">
      <c r="A380" s="0" t="inlineStr">
        <is>
          <t>香港專櫃課</t>
        </is>
      </c>
      <c r="B380" s="0" t="inlineStr">
        <is>
          <t>P0028</t>
        </is>
      </c>
      <c r="C380" s="0" t="inlineStr">
        <is>
          <t>盧天欣</t>
        </is>
      </c>
      <c r="D380" s="0" t="inlineStr">
        <is>
          <t>2026/05/12</t>
        </is>
      </c>
      <c r="I380" s="0" t="n">
        <v>0</v>
      </c>
    </row>
    <row r="381">
      <c r="A381" s="0" t="inlineStr">
        <is>
          <t>香港專櫃課</t>
        </is>
      </c>
      <c r="B381" s="0" t="inlineStr">
        <is>
          <t>P0028</t>
        </is>
      </c>
      <c r="C381" s="0" t="inlineStr">
        <is>
          <t>盧天欣</t>
        </is>
      </c>
      <c r="D381" s="0" t="inlineStr">
        <is>
          <t>2026/05/13</t>
        </is>
      </c>
      <c r="I381" s="0" t="n">
        <v>0</v>
      </c>
    </row>
    <row r="382">
      <c r="A382" s="0" t="inlineStr">
        <is>
          <t>香港專櫃課</t>
        </is>
      </c>
      <c r="B382" s="0" t="inlineStr">
        <is>
          <t>P0028</t>
        </is>
      </c>
      <c r="C382" s="0" t="inlineStr">
        <is>
          <t>盧天欣</t>
        </is>
      </c>
      <c r="D382" s="0" t="inlineStr">
        <is>
          <t>2026/05/14</t>
        </is>
      </c>
      <c r="E382" s="0" t="inlineStr">
        <is>
          <t>月休</t>
        </is>
      </c>
      <c r="I382" s="0" t="n">
        <v>0</v>
      </c>
    </row>
    <row r="383">
      <c r="A383" s="0" t="inlineStr">
        <is>
          <t>香港專櫃課</t>
        </is>
      </c>
      <c r="B383" s="0" t="inlineStr">
        <is>
          <t>P0028</t>
        </is>
      </c>
      <c r="C383" s="0" t="inlineStr">
        <is>
          <t>盧天欣</t>
        </is>
      </c>
      <c r="D383" s="0" t="inlineStr">
        <is>
          <t>2026/05/15</t>
        </is>
      </c>
      <c r="E383" s="0" t="inlineStr">
        <is>
          <t>上班</t>
        </is>
      </c>
      <c r="F383" s="0" t="inlineStr">
        <is>
          <t>香港早班</t>
        </is>
      </c>
      <c r="G383" s="0" t="inlineStr">
        <is>
          <t>10:30</t>
        </is>
      </c>
      <c r="H383" s="0" t="inlineStr">
        <is>
          <t>16:30</t>
        </is>
      </c>
      <c r="I383" s="0" t="n">
        <v>6</v>
      </c>
      <c r="J383" s="0" t="inlineStr">
        <is>
          <t>10:30</t>
        </is>
      </c>
      <c r="K383" s="0" t="inlineStr">
        <is>
          <t>16:30</t>
        </is>
      </c>
      <c r="L383" s="0" t="inlineStr">
        <is>
          <t>否</t>
        </is>
      </c>
    </row>
    <row r="384">
      <c r="A384" s="0" t="inlineStr">
        <is>
          <t>香港專櫃課</t>
        </is>
      </c>
      <c r="B384" s="0" t="inlineStr">
        <is>
          <t>P0028</t>
        </is>
      </c>
      <c r="C384" s="0" t="inlineStr">
        <is>
          <t>盧天欣</t>
        </is>
      </c>
      <c r="D384" s="0" t="inlineStr">
        <is>
          <t>2026/05/16</t>
        </is>
      </c>
      <c r="I384" s="0" t="n">
        <v>0</v>
      </c>
    </row>
    <row r="385">
      <c r="A385" s="0" t="inlineStr">
        <is>
          <t>香港專櫃課</t>
        </is>
      </c>
      <c r="B385" s="0" t="inlineStr">
        <is>
          <t>P0028</t>
        </is>
      </c>
      <c r="C385" s="0" t="inlineStr">
        <is>
          <t>盧天欣</t>
        </is>
      </c>
      <c r="D385" s="0" t="inlineStr">
        <is>
          <t>2026/05/17</t>
        </is>
      </c>
      <c r="E385" s="0" t="inlineStr">
        <is>
          <t>上班</t>
        </is>
      </c>
      <c r="F385" s="0" t="inlineStr">
        <is>
          <t>香港早班</t>
        </is>
      </c>
      <c r="G385" s="0" t="inlineStr">
        <is>
          <t>10:30</t>
        </is>
      </c>
      <c r="H385" s="0" t="inlineStr">
        <is>
          <t>16:30</t>
        </is>
      </c>
      <c r="I385" s="0" t="n">
        <v>6</v>
      </c>
      <c r="J385" s="0" t="inlineStr">
        <is>
          <t>10:30</t>
        </is>
      </c>
      <c r="K385" s="0" t="inlineStr">
        <is>
          <t>16:30</t>
        </is>
      </c>
      <c r="L385" s="0" t="inlineStr">
        <is>
          <t>否</t>
        </is>
      </c>
    </row>
    <row r="386">
      <c r="A386" s="0" t="inlineStr">
        <is>
          <t>香港專櫃課</t>
        </is>
      </c>
      <c r="B386" s="0" t="inlineStr">
        <is>
          <t>P0028</t>
        </is>
      </c>
      <c r="C386" s="0" t="inlineStr">
        <is>
          <t>盧天欣</t>
        </is>
      </c>
      <c r="D386" s="0" t="inlineStr">
        <is>
          <t>2026/05/18</t>
        </is>
      </c>
      <c r="E386" s="0" t="inlineStr">
        <is>
          <t>上班</t>
        </is>
      </c>
      <c r="F386" s="0" t="inlineStr">
        <is>
          <t>香港早班</t>
        </is>
      </c>
      <c r="G386" s="0" t="inlineStr">
        <is>
          <t>10:30</t>
        </is>
      </c>
      <c r="H386" s="0" t="inlineStr">
        <is>
          <t>16:30</t>
        </is>
      </c>
      <c r="I386" s="0" t="n">
        <v>6</v>
      </c>
      <c r="J386" s="0" t="inlineStr">
        <is>
          <t>10:30</t>
        </is>
      </c>
      <c r="K386" s="0" t="inlineStr">
        <is>
          <t>16:30</t>
        </is>
      </c>
      <c r="L386" s="0" t="inlineStr">
        <is>
          <t>否</t>
        </is>
      </c>
    </row>
    <row r="387">
      <c r="A387" s="0" t="inlineStr">
        <is>
          <t>香港專櫃課</t>
        </is>
      </c>
      <c r="B387" s="0" t="inlineStr">
        <is>
          <t>P0028</t>
        </is>
      </c>
      <c r="C387" s="0" t="inlineStr">
        <is>
          <t>盧天欣</t>
        </is>
      </c>
      <c r="D387" s="0" t="inlineStr">
        <is>
          <t>2026/05/19</t>
        </is>
      </c>
      <c r="E387" s="0" t="inlineStr">
        <is>
          <t>上班</t>
        </is>
      </c>
      <c r="F387" s="0" t="inlineStr">
        <is>
          <t>香港早班</t>
        </is>
      </c>
      <c r="G387" s="0" t="inlineStr">
        <is>
          <t>10:30</t>
        </is>
      </c>
      <c r="H387" s="0" t="inlineStr">
        <is>
          <t>16:30</t>
        </is>
      </c>
      <c r="I387" s="0" t="n">
        <v>6</v>
      </c>
      <c r="J387" s="0" t="inlineStr">
        <is>
          <t>10:30</t>
        </is>
      </c>
      <c r="K387" s="0" t="inlineStr">
        <is>
          <t>16:30</t>
        </is>
      </c>
      <c r="L387" s="0" t="inlineStr">
        <is>
          <t>否</t>
        </is>
      </c>
    </row>
    <row r="388">
      <c r="A388" s="0" t="inlineStr">
        <is>
          <t>香港專櫃課</t>
        </is>
      </c>
      <c r="B388" s="0" t="inlineStr">
        <is>
          <t>P0028</t>
        </is>
      </c>
      <c r="C388" s="0" t="inlineStr">
        <is>
          <t>盧天欣</t>
        </is>
      </c>
      <c r="D388" s="0" t="inlineStr">
        <is>
          <t>2026/05/20</t>
        </is>
      </c>
      <c r="E388" s="0" t="inlineStr">
        <is>
          <t>上班</t>
        </is>
      </c>
      <c r="F388" s="0" t="inlineStr">
        <is>
          <t>香港ALL班</t>
        </is>
      </c>
      <c r="G388" s="0" t="inlineStr">
        <is>
          <t>10:30</t>
        </is>
      </c>
      <c r="H388" s="0" t="inlineStr">
        <is>
          <t>21:00</t>
        </is>
      </c>
      <c r="I388" s="0" t="n">
        <v>10.5</v>
      </c>
      <c r="J388" s="0" t="inlineStr">
        <is>
          <t>10:30</t>
        </is>
      </c>
      <c r="K388" s="0" t="inlineStr">
        <is>
          <t>21:00</t>
        </is>
      </c>
      <c r="L388" s="0" t="inlineStr">
        <is>
          <t>否</t>
        </is>
      </c>
    </row>
    <row r="389">
      <c r="A389" s="0" t="inlineStr">
        <is>
          <t>香港專櫃課</t>
        </is>
      </c>
      <c r="B389" s="0" t="inlineStr">
        <is>
          <t>P0028</t>
        </is>
      </c>
      <c r="C389" s="0" t="inlineStr">
        <is>
          <t>盧天欣</t>
        </is>
      </c>
      <c r="D389" s="0" t="inlineStr">
        <is>
          <t>2026/05/21</t>
        </is>
      </c>
      <c r="E389" s="0" t="inlineStr">
        <is>
          <t>上班</t>
        </is>
      </c>
      <c r="F389" s="0" t="inlineStr">
        <is>
          <t>香港晚班</t>
        </is>
      </c>
      <c r="G389" s="0" t="inlineStr">
        <is>
          <t>16:00</t>
        </is>
      </c>
      <c r="H389" s="0" t="inlineStr">
        <is>
          <t>21:00</t>
        </is>
      </c>
      <c r="I389" s="0" t="n">
        <v>5</v>
      </c>
      <c r="J389" s="0" t="inlineStr">
        <is>
          <t>16:00</t>
        </is>
      </c>
      <c r="K389" s="0" t="inlineStr">
        <is>
          <t>21:00</t>
        </is>
      </c>
      <c r="L389" s="0" t="inlineStr">
        <is>
          <t>否</t>
        </is>
      </c>
    </row>
    <row r="390">
      <c r="A390" s="0" t="inlineStr">
        <is>
          <t>香港專櫃課</t>
        </is>
      </c>
      <c r="B390" s="0" t="inlineStr">
        <is>
          <t>P0028</t>
        </is>
      </c>
      <c r="C390" s="0" t="inlineStr">
        <is>
          <t>盧天欣</t>
        </is>
      </c>
      <c r="D390" s="0" t="inlineStr">
        <is>
          <t>2026/05/22</t>
        </is>
      </c>
      <c r="E390" s="0" t="inlineStr">
        <is>
          <t>上班</t>
        </is>
      </c>
      <c r="F390" s="0" t="inlineStr">
        <is>
          <t>香港晚班</t>
        </is>
      </c>
      <c r="G390" s="0" t="inlineStr">
        <is>
          <t>16:00</t>
        </is>
      </c>
      <c r="H390" s="0" t="inlineStr">
        <is>
          <t>21:00</t>
        </is>
      </c>
      <c r="I390" s="0" t="n">
        <v>5</v>
      </c>
      <c r="J390" s="0" t="inlineStr">
        <is>
          <t>16:00</t>
        </is>
      </c>
      <c r="K390" s="0" t="inlineStr">
        <is>
          <t>21:00</t>
        </is>
      </c>
      <c r="L390" s="0" t="inlineStr">
        <is>
          <t>否</t>
        </is>
      </c>
    </row>
    <row r="391">
      <c r="A391" s="0" t="inlineStr">
        <is>
          <t>香港專櫃課</t>
        </is>
      </c>
      <c r="B391" s="0" t="inlineStr">
        <is>
          <t>P0028</t>
        </is>
      </c>
      <c r="C391" s="0" t="inlineStr">
        <is>
          <t>盧天欣</t>
        </is>
      </c>
      <c r="D391" s="0" t="inlineStr">
        <is>
          <t>2026/05/23</t>
        </is>
      </c>
      <c r="I391" s="0" t="n">
        <v>0</v>
      </c>
    </row>
    <row r="392">
      <c r="A392" s="0" t="inlineStr">
        <is>
          <t>香港專櫃課</t>
        </is>
      </c>
      <c r="B392" s="0" t="inlineStr">
        <is>
          <t>P0028</t>
        </is>
      </c>
      <c r="C392" s="0" t="inlineStr">
        <is>
          <t>盧天欣</t>
        </is>
      </c>
      <c r="D392" s="0" t="inlineStr">
        <is>
          <t>2026/05/24</t>
        </is>
      </c>
      <c r="E392" s="0" t="inlineStr">
        <is>
          <t>上班</t>
        </is>
      </c>
      <c r="F392" s="0" t="inlineStr">
        <is>
          <t>香港早班</t>
        </is>
      </c>
      <c r="G392" s="0" t="inlineStr">
        <is>
          <t>10:30</t>
        </is>
      </c>
      <c r="H392" s="0" t="inlineStr">
        <is>
          <t>16:30</t>
        </is>
      </c>
      <c r="I392" s="0" t="n">
        <v>6</v>
      </c>
      <c r="J392" s="0" t="inlineStr">
        <is>
          <t>10:30</t>
        </is>
      </c>
      <c r="K392" s="0" t="inlineStr">
        <is>
          <t>16:30</t>
        </is>
      </c>
      <c r="L392" s="0" t="inlineStr">
        <is>
          <t>否</t>
        </is>
      </c>
    </row>
    <row r="393">
      <c r="A393" s="0" t="inlineStr">
        <is>
          <t>香港專櫃課</t>
        </is>
      </c>
      <c r="B393" s="0" t="inlineStr">
        <is>
          <t>P0028</t>
        </is>
      </c>
      <c r="C393" s="0" t="inlineStr">
        <is>
          <t>盧天欣</t>
        </is>
      </c>
      <c r="D393" s="0" t="inlineStr">
        <is>
          <t>2026/05/25</t>
        </is>
      </c>
      <c r="E393" s="0" t="inlineStr">
        <is>
          <t>國定假日</t>
        </is>
      </c>
      <c r="I393" s="0" t="n">
        <v>0</v>
      </c>
    </row>
    <row r="394">
      <c r="A394" s="0" t="inlineStr">
        <is>
          <t>香港專櫃課</t>
        </is>
      </c>
      <c r="B394" s="0" t="inlineStr">
        <is>
          <t>P0028</t>
        </is>
      </c>
      <c r="C394" s="0" t="inlineStr">
        <is>
          <t>盧天欣</t>
        </is>
      </c>
      <c r="D394" s="0" t="inlineStr">
        <is>
          <t>2026/05/26</t>
        </is>
      </c>
      <c r="E394" s="0" t="inlineStr">
        <is>
          <t>上班</t>
        </is>
      </c>
      <c r="F394" s="0" t="inlineStr">
        <is>
          <t>香港晚班</t>
        </is>
      </c>
      <c r="G394" s="0" t="inlineStr">
        <is>
          <t>16:00</t>
        </is>
      </c>
      <c r="H394" s="0" t="inlineStr">
        <is>
          <t>21:00</t>
        </is>
      </c>
      <c r="I394" s="0" t="n">
        <v>5</v>
      </c>
      <c r="J394" s="0" t="inlineStr">
        <is>
          <t>16:00</t>
        </is>
      </c>
      <c r="K394" s="0" t="inlineStr">
        <is>
          <t>21:00</t>
        </is>
      </c>
      <c r="L394" s="0" t="inlineStr">
        <is>
          <t>否</t>
        </is>
      </c>
    </row>
    <row r="395">
      <c r="A395" s="0" t="inlineStr">
        <is>
          <t>香港專櫃課</t>
        </is>
      </c>
      <c r="B395" s="0" t="inlineStr">
        <is>
          <t>P0028</t>
        </is>
      </c>
      <c r="C395" s="0" t="inlineStr">
        <is>
          <t>盧天欣</t>
        </is>
      </c>
      <c r="D395" s="0" t="inlineStr">
        <is>
          <t>2026/05/27</t>
        </is>
      </c>
      <c r="I395" s="0" t="n">
        <v>0</v>
      </c>
    </row>
    <row r="396">
      <c r="A396" s="0" t="inlineStr">
        <is>
          <t>香港專櫃課</t>
        </is>
      </c>
      <c r="B396" s="0" t="inlineStr">
        <is>
          <t>P0028</t>
        </is>
      </c>
      <c r="C396" s="0" t="inlineStr">
        <is>
          <t>盧天欣</t>
        </is>
      </c>
      <c r="D396" s="0" t="inlineStr">
        <is>
          <t>2026/05/28</t>
        </is>
      </c>
      <c r="E396" s="0" t="inlineStr">
        <is>
          <t>上班</t>
        </is>
      </c>
      <c r="F396" s="0" t="inlineStr">
        <is>
          <t>香港早班</t>
        </is>
      </c>
      <c r="G396" s="0" t="inlineStr">
        <is>
          <t>10:30</t>
        </is>
      </c>
      <c r="H396" s="0" t="inlineStr">
        <is>
          <t>16:30</t>
        </is>
      </c>
      <c r="I396" s="0" t="n">
        <v>6</v>
      </c>
      <c r="J396" s="0" t="inlineStr">
        <is>
          <t>10:30</t>
        </is>
      </c>
      <c r="K396" s="0" t="inlineStr">
        <is>
          <t>16:30</t>
        </is>
      </c>
      <c r="L396" s="0" t="inlineStr">
        <is>
          <t>否</t>
        </is>
      </c>
    </row>
    <row r="397">
      <c r="A397" s="0" t="inlineStr">
        <is>
          <t>香港專櫃課</t>
        </is>
      </c>
      <c r="B397" s="0" t="inlineStr">
        <is>
          <t>P0028</t>
        </is>
      </c>
      <c r="C397" s="0" t="inlineStr">
        <is>
          <t>盧天欣</t>
        </is>
      </c>
      <c r="D397" s="0" t="inlineStr">
        <is>
          <t>2026/05/29</t>
        </is>
      </c>
      <c r="E397" s="0" t="inlineStr">
        <is>
          <t>上班</t>
        </is>
      </c>
      <c r="F397" s="0" t="inlineStr">
        <is>
          <t>香港晚班</t>
        </is>
      </c>
      <c r="G397" s="0" t="inlineStr">
        <is>
          <t>16:00</t>
        </is>
      </c>
      <c r="H397" s="0" t="inlineStr">
        <is>
          <t>21:00</t>
        </is>
      </c>
      <c r="I397" s="0" t="n">
        <v>5</v>
      </c>
      <c r="J397" s="0" t="inlineStr">
        <is>
          <t>16:00</t>
        </is>
      </c>
      <c r="K397" s="0" t="inlineStr">
        <is>
          <t>21:00</t>
        </is>
      </c>
      <c r="L397" s="0" t="inlineStr">
        <is>
          <t>否</t>
        </is>
      </c>
    </row>
    <row r="398">
      <c r="A398" s="0" t="inlineStr">
        <is>
          <t>香港專櫃課</t>
        </is>
      </c>
      <c r="B398" s="0" t="inlineStr">
        <is>
          <t>P0028</t>
        </is>
      </c>
      <c r="C398" s="0" t="inlineStr">
        <is>
          <t>盧天欣</t>
        </is>
      </c>
      <c r="D398" s="0" t="inlineStr">
        <is>
          <t>2026/05/30</t>
        </is>
      </c>
      <c r="I398" s="0" t="n">
        <v>0</v>
      </c>
    </row>
    <row r="399">
      <c r="A399" s="0" t="inlineStr">
        <is>
          <t>香港專櫃課</t>
        </is>
      </c>
      <c r="B399" s="0" t="inlineStr">
        <is>
          <t>P0028</t>
        </is>
      </c>
      <c r="C399" s="0" t="inlineStr">
        <is>
          <t>盧天欣</t>
        </is>
      </c>
      <c r="D399" s="0" t="inlineStr">
        <is>
          <t>2026/05/31</t>
        </is>
      </c>
      <c r="E399" s="0" t="inlineStr">
        <is>
          <t>上班</t>
        </is>
      </c>
      <c r="F399" s="0" t="inlineStr">
        <is>
          <t>香港晚班</t>
        </is>
      </c>
      <c r="G399" s="0" t="inlineStr">
        <is>
          <t>16:00</t>
        </is>
      </c>
      <c r="H399" s="0" t="inlineStr">
        <is>
          <t>21:00</t>
        </is>
      </c>
      <c r="I399" s="0" t="n">
        <v>5</v>
      </c>
      <c r="J399" s="0" t="inlineStr">
        <is>
          <t>16:00</t>
        </is>
      </c>
      <c r="K399" s="0" t="inlineStr">
        <is>
          <t>21:00</t>
        </is>
      </c>
      <c r="L399" s="0" t="inlineStr">
        <is>
          <t>否</t>
        </is>
      </c>
    </row>
    <row r="400">
      <c r="A400" s="0" t="inlineStr">
        <is>
          <t>香港專櫃課</t>
        </is>
      </c>
      <c r="B400" s="0" t="inlineStr">
        <is>
          <t>P0028</t>
        </is>
      </c>
      <c r="C400" s="0" t="inlineStr">
        <is>
          <t>盧天欣</t>
        </is>
      </c>
      <c r="D400" s="0" t="inlineStr">
        <is>
          <t>2026/06/01</t>
        </is>
      </c>
      <c r="E400" s="0" t="inlineStr">
        <is>
          <t>月休</t>
        </is>
      </c>
      <c r="I400" s="0" t="n">
        <v>0</v>
      </c>
    </row>
    <row r="401">
      <c r="A401" s="0" t="inlineStr">
        <is>
          <t>香港專櫃課</t>
        </is>
      </c>
      <c r="B401" s="0" t="inlineStr">
        <is>
          <t>P0028</t>
        </is>
      </c>
      <c r="C401" s="0" t="inlineStr">
        <is>
          <t>盧天欣</t>
        </is>
      </c>
      <c r="D401" s="0" t="inlineStr">
        <is>
          <t>2026/06/02</t>
        </is>
      </c>
      <c r="E401" s="0" t="inlineStr">
        <is>
          <t>月休</t>
        </is>
      </c>
      <c r="I401" s="0" t="n">
        <v>0</v>
      </c>
    </row>
    <row r="402">
      <c r="A402" s="0" t="inlineStr">
        <is>
          <t>香港專櫃課</t>
        </is>
      </c>
      <c r="B402" s="0" t="inlineStr">
        <is>
          <t>P0028</t>
        </is>
      </c>
      <c r="C402" s="0" t="inlineStr">
        <is>
          <t>盧天欣</t>
        </is>
      </c>
      <c r="D402" s="0" t="inlineStr">
        <is>
          <t>2026/06/03</t>
        </is>
      </c>
      <c r="E402" s="0" t="inlineStr">
        <is>
          <t>月休</t>
        </is>
      </c>
      <c r="I402" s="0" t="n">
        <v>0</v>
      </c>
    </row>
    <row r="403">
      <c r="A403" s="0" t="inlineStr">
        <is>
          <t>香港專櫃課</t>
        </is>
      </c>
      <c r="B403" s="0" t="inlineStr">
        <is>
          <t>P0028</t>
        </is>
      </c>
      <c r="C403" s="0" t="inlineStr">
        <is>
          <t>盧天欣</t>
        </is>
      </c>
      <c r="D403" s="0" t="inlineStr">
        <is>
          <t>2026/06/04</t>
        </is>
      </c>
      <c r="E403" s="0" t="inlineStr">
        <is>
          <t>月休</t>
        </is>
      </c>
      <c r="I403" s="0" t="n">
        <v>0</v>
      </c>
    </row>
    <row r="404">
      <c r="A404" s="0" t="inlineStr">
        <is>
          <t>香港專櫃課</t>
        </is>
      </c>
      <c r="B404" s="0" t="inlineStr">
        <is>
          <t>P0028</t>
        </is>
      </c>
      <c r="C404" s="0" t="inlineStr">
        <is>
          <t>盧天欣</t>
        </is>
      </c>
      <c r="D404" s="0" t="inlineStr">
        <is>
          <t>2026/06/05</t>
        </is>
      </c>
      <c r="E404" s="0" t="inlineStr">
        <is>
          <t>月休</t>
        </is>
      </c>
      <c r="I404" s="0" t="n">
        <v>0</v>
      </c>
    </row>
    <row r="405">
      <c r="A405" s="0" t="inlineStr">
        <is>
          <t>香港專櫃課</t>
        </is>
      </c>
      <c r="B405" s="0" t="inlineStr">
        <is>
          <t>P0028</t>
        </is>
      </c>
      <c r="C405" s="0" t="inlineStr">
        <is>
          <t>盧天欣</t>
        </is>
      </c>
      <c r="D405" s="0" t="inlineStr">
        <is>
          <t>2026/06/06</t>
        </is>
      </c>
      <c r="E405" s="0" t="inlineStr">
        <is>
          <t>上班</t>
        </is>
      </c>
      <c r="F405" s="0" t="inlineStr">
        <is>
          <t>香港早班</t>
        </is>
      </c>
      <c r="G405" s="0" t="inlineStr">
        <is>
          <t>10:30</t>
        </is>
      </c>
      <c r="H405" s="0" t="inlineStr">
        <is>
          <t>16:30</t>
        </is>
      </c>
      <c r="I405" s="0" t="n">
        <v>6</v>
      </c>
      <c r="J405" s="0" t="inlineStr">
        <is>
          <t>10:30</t>
        </is>
      </c>
      <c r="K405" s="0" t="inlineStr">
        <is>
          <t>16:30</t>
        </is>
      </c>
      <c r="L405" s="0" t="inlineStr">
        <is>
          <t>否</t>
        </is>
      </c>
    </row>
    <row r="406">
      <c r="A406" s="0" t="inlineStr">
        <is>
          <t>香港專櫃課</t>
        </is>
      </c>
      <c r="B406" s="0" t="inlineStr">
        <is>
          <t>P0028</t>
        </is>
      </c>
      <c r="C406" s="0" t="inlineStr">
        <is>
          <t>盧天欣</t>
        </is>
      </c>
      <c r="D406" s="0" t="inlineStr">
        <is>
          <t>2026/06/07</t>
        </is>
      </c>
      <c r="E406" s="0" t="inlineStr">
        <is>
          <t>上班</t>
        </is>
      </c>
      <c r="F406" s="0" t="inlineStr">
        <is>
          <t>香港晚班</t>
        </is>
      </c>
      <c r="G406" s="0" t="inlineStr">
        <is>
          <t>16:00</t>
        </is>
      </c>
      <c r="H406" s="0" t="inlineStr">
        <is>
          <t>21:00</t>
        </is>
      </c>
      <c r="I406" s="0" t="n">
        <v>5</v>
      </c>
      <c r="J406" s="0" t="inlineStr">
        <is>
          <t>16:00</t>
        </is>
      </c>
      <c r="K406" s="0" t="inlineStr">
        <is>
          <t>21:00</t>
        </is>
      </c>
      <c r="L406" s="0" t="inlineStr">
        <is>
          <t>否</t>
        </is>
      </c>
    </row>
    <row r="407">
      <c r="A407" s="0" t="inlineStr">
        <is>
          <t>香港專櫃課</t>
        </is>
      </c>
      <c r="B407" s="0" t="inlineStr">
        <is>
          <t>P0028</t>
        </is>
      </c>
      <c r="C407" s="0" t="inlineStr">
        <is>
          <t>盧天欣</t>
        </is>
      </c>
      <c r="D407" s="0" t="inlineStr">
        <is>
          <t>2026/06/08</t>
        </is>
      </c>
      <c r="E407" s="0" t="inlineStr">
        <is>
          <t>月休</t>
        </is>
      </c>
      <c r="I407" s="0" t="n">
        <v>0</v>
      </c>
    </row>
    <row r="408">
      <c r="A408" s="0" t="inlineStr">
        <is>
          <t>香港專櫃課</t>
        </is>
      </c>
      <c r="B408" s="0" t="inlineStr">
        <is>
          <t>P0028</t>
        </is>
      </c>
      <c r="C408" s="0" t="inlineStr">
        <is>
          <t>盧天欣</t>
        </is>
      </c>
      <c r="D408" s="0" t="inlineStr">
        <is>
          <t>2026/06/09</t>
        </is>
      </c>
      <c r="E408" s="0" t="inlineStr">
        <is>
          <t>月休</t>
        </is>
      </c>
      <c r="I408" s="0" t="n">
        <v>0</v>
      </c>
    </row>
    <row r="409">
      <c r="A409" s="0" t="inlineStr">
        <is>
          <t>香港專櫃課</t>
        </is>
      </c>
      <c r="B409" s="0" t="inlineStr">
        <is>
          <t>P0028</t>
        </is>
      </c>
      <c r="C409" s="0" t="inlineStr">
        <is>
          <t>盧天欣</t>
        </is>
      </c>
      <c r="D409" s="0" t="inlineStr">
        <is>
          <t>2026/06/10</t>
        </is>
      </c>
      <c r="E409" s="0" t="inlineStr">
        <is>
          <t>月休</t>
        </is>
      </c>
      <c r="I409" s="0" t="n">
        <v>0</v>
      </c>
    </row>
    <row r="410">
      <c r="A410" s="0" t="inlineStr">
        <is>
          <t>香港專櫃課</t>
        </is>
      </c>
      <c r="B410" s="0" t="inlineStr">
        <is>
          <t>P0028</t>
        </is>
      </c>
      <c r="C410" s="0" t="inlineStr">
        <is>
          <t>盧天欣</t>
        </is>
      </c>
      <c r="D410" s="0" t="inlineStr">
        <is>
          <t>2026/06/11</t>
        </is>
      </c>
      <c r="E410" s="0" t="inlineStr">
        <is>
          <t>月休</t>
        </is>
      </c>
      <c r="I410" s="0" t="n">
        <v>0</v>
      </c>
    </row>
    <row r="411">
      <c r="A411" s="0" t="inlineStr">
        <is>
          <t>香港專櫃課</t>
        </is>
      </c>
      <c r="B411" s="0" t="inlineStr">
        <is>
          <t>P0028</t>
        </is>
      </c>
      <c r="C411" s="0" t="inlineStr">
        <is>
          <t>盧天欣</t>
        </is>
      </c>
      <c r="D411" s="0" t="inlineStr">
        <is>
          <t>2026/06/12</t>
        </is>
      </c>
      <c r="I411" s="0" t="n">
        <v>0</v>
      </c>
    </row>
    <row r="412">
      <c r="A412" s="0" t="inlineStr">
        <is>
          <t>香港專櫃課</t>
        </is>
      </c>
      <c r="B412" s="0" t="inlineStr">
        <is>
          <t>P0028</t>
        </is>
      </c>
      <c r="C412" s="0" t="inlineStr">
        <is>
          <t>盧天欣</t>
        </is>
      </c>
      <c r="D412" s="0" t="inlineStr">
        <is>
          <t>2026/06/13</t>
        </is>
      </c>
      <c r="E412" s="0" t="inlineStr">
        <is>
          <t>上班</t>
        </is>
      </c>
      <c r="F412" s="0" t="inlineStr">
        <is>
          <t>香港晚班</t>
        </is>
      </c>
      <c r="G412" s="0" t="inlineStr">
        <is>
          <t>16:00</t>
        </is>
      </c>
      <c r="H412" s="0" t="inlineStr">
        <is>
          <t>21:00</t>
        </is>
      </c>
      <c r="I412" s="0" t="n">
        <v>5</v>
      </c>
      <c r="J412" s="0" t="inlineStr">
        <is>
          <t>16:00</t>
        </is>
      </c>
      <c r="K412" s="0" t="inlineStr">
        <is>
          <t>21:00</t>
        </is>
      </c>
      <c r="L412" s="0" t="inlineStr">
        <is>
          <t>否</t>
        </is>
      </c>
    </row>
    <row r="413">
      <c r="A413" s="0" t="inlineStr">
        <is>
          <t>香港專櫃課</t>
        </is>
      </c>
      <c r="B413" s="0" t="inlineStr">
        <is>
          <t>P0028</t>
        </is>
      </c>
      <c r="C413" s="0" t="inlineStr">
        <is>
          <t>盧天欣</t>
        </is>
      </c>
      <c r="D413" s="0" t="inlineStr">
        <is>
          <t>2026/06/14</t>
        </is>
      </c>
      <c r="E413" s="0" t="inlineStr">
        <is>
          <t>上班</t>
        </is>
      </c>
      <c r="F413" s="0" t="inlineStr">
        <is>
          <t>香港晚班</t>
        </is>
      </c>
      <c r="G413" s="0" t="inlineStr">
        <is>
          <t>16:00</t>
        </is>
      </c>
      <c r="H413" s="0" t="inlineStr">
        <is>
          <t>21:00</t>
        </is>
      </c>
      <c r="I413" s="0" t="n">
        <v>5</v>
      </c>
      <c r="J413" s="0" t="inlineStr">
        <is>
          <t>16:00</t>
        </is>
      </c>
      <c r="K413" s="0" t="inlineStr">
        <is>
          <t>21:00</t>
        </is>
      </c>
      <c r="L413" s="0" t="inlineStr">
        <is>
          <t>否</t>
        </is>
      </c>
    </row>
    <row r="414">
      <c r="A414" s="0" t="inlineStr">
        <is>
          <t>香港專櫃課</t>
        </is>
      </c>
      <c r="B414" s="0" t="inlineStr">
        <is>
          <t>P0028</t>
        </is>
      </c>
      <c r="C414" s="0" t="inlineStr">
        <is>
          <t>盧天欣</t>
        </is>
      </c>
      <c r="D414" s="0" t="inlineStr">
        <is>
          <t>2026/06/15</t>
        </is>
      </c>
      <c r="E414" s="0" t="inlineStr">
        <is>
          <t>月休</t>
        </is>
      </c>
      <c r="I414" s="0" t="n">
        <v>0</v>
      </c>
    </row>
    <row r="415">
      <c r="A415" s="0" t="inlineStr">
        <is>
          <t>香港專櫃課</t>
        </is>
      </c>
      <c r="B415" s="0" t="inlineStr">
        <is>
          <t>P0028</t>
        </is>
      </c>
      <c r="C415" s="0" t="inlineStr">
        <is>
          <t>盧天欣</t>
        </is>
      </c>
      <c r="D415" s="0" t="inlineStr">
        <is>
          <t>2026/06/16</t>
        </is>
      </c>
      <c r="E415" s="0" t="inlineStr">
        <is>
          <t>月休</t>
        </is>
      </c>
      <c r="I415" s="0" t="n">
        <v>0</v>
      </c>
    </row>
    <row r="416">
      <c r="A416" s="0" t="inlineStr">
        <is>
          <t>香港專櫃課</t>
        </is>
      </c>
      <c r="B416" s="0" t="inlineStr">
        <is>
          <t>P0028</t>
        </is>
      </c>
      <c r="C416" s="0" t="inlineStr">
        <is>
          <t>盧天欣</t>
        </is>
      </c>
      <c r="D416" s="0" t="inlineStr">
        <is>
          <t>2026/06/17</t>
        </is>
      </c>
      <c r="E416" s="0" t="inlineStr">
        <is>
          <t>月休</t>
        </is>
      </c>
      <c r="I416" s="0" t="n">
        <v>0</v>
      </c>
    </row>
    <row r="417">
      <c r="A417" s="0" t="inlineStr">
        <is>
          <t>香港專櫃課</t>
        </is>
      </c>
      <c r="B417" s="0" t="inlineStr">
        <is>
          <t>P0028</t>
        </is>
      </c>
      <c r="C417" s="0" t="inlineStr">
        <is>
          <t>盧天欣</t>
        </is>
      </c>
      <c r="D417" s="0" t="inlineStr">
        <is>
          <t>2026/06/18</t>
        </is>
      </c>
      <c r="E417" s="0" t="inlineStr">
        <is>
          <t>月休</t>
        </is>
      </c>
      <c r="I417" s="0" t="n">
        <v>0</v>
      </c>
    </row>
    <row r="418">
      <c r="A418" s="0" t="inlineStr">
        <is>
          <t>香港專櫃課</t>
        </is>
      </c>
      <c r="B418" s="0" t="inlineStr">
        <is>
          <t>P0028</t>
        </is>
      </c>
      <c r="C418" s="0" t="inlineStr">
        <is>
          <t>盧天欣</t>
        </is>
      </c>
      <c r="D418" s="0" t="inlineStr">
        <is>
          <t>2026/06/19</t>
        </is>
      </c>
      <c r="E418" s="0" t="inlineStr">
        <is>
          <t>國定假日</t>
        </is>
      </c>
      <c r="I418" s="0" t="n">
        <v>0</v>
      </c>
    </row>
    <row r="419">
      <c r="A419" s="0" t="inlineStr">
        <is>
          <t>香港專櫃課</t>
        </is>
      </c>
      <c r="B419" s="0" t="inlineStr">
        <is>
          <t>P0028</t>
        </is>
      </c>
      <c r="C419" s="0" t="inlineStr">
        <is>
          <t>盧天欣</t>
        </is>
      </c>
      <c r="D419" s="0" t="inlineStr">
        <is>
          <t>2026/06/20</t>
        </is>
      </c>
      <c r="E419" s="0" t="inlineStr">
        <is>
          <t>上班</t>
        </is>
      </c>
      <c r="F419" s="0" t="inlineStr">
        <is>
          <t>香港晚班</t>
        </is>
      </c>
      <c r="G419" s="0" t="inlineStr">
        <is>
          <t>16:00</t>
        </is>
      </c>
      <c r="H419" s="0" t="inlineStr">
        <is>
          <t>21:00</t>
        </is>
      </c>
      <c r="I419" s="0" t="n">
        <v>5</v>
      </c>
      <c r="J419" s="0" t="inlineStr">
        <is>
          <t>16:00</t>
        </is>
      </c>
      <c r="K419" s="0" t="inlineStr">
        <is>
          <t>21:00</t>
        </is>
      </c>
      <c r="L419" s="0" t="inlineStr">
        <is>
          <t>否</t>
        </is>
      </c>
    </row>
    <row r="420">
      <c r="A420" s="0" t="inlineStr">
        <is>
          <t>香港專櫃課</t>
        </is>
      </c>
      <c r="B420" s="0" t="inlineStr">
        <is>
          <t>P0028</t>
        </is>
      </c>
      <c r="C420" s="0" t="inlineStr">
        <is>
          <t>盧天欣</t>
        </is>
      </c>
      <c r="D420" s="0" t="inlineStr">
        <is>
          <t>2026/06/21</t>
        </is>
      </c>
      <c r="E420" s="0" t="inlineStr">
        <is>
          <t>上班</t>
        </is>
      </c>
      <c r="F420" s="0" t="inlineStr">
        <is>
          <t>香港早班</t>
        </is>
      </c>
      <c r="G420" s="0" t="inlineStr">
        <is>
          <t>10:30</t>
        </is>
      </c>
      <c r="H420" s="0" t="inlineStr">
        <is>
          <t>16:30</t>
        </is>
      </c>
      <c r="I420" s="0" t="n">
        <v>6</v>
      </c>
      <c r="J420" s="0" t="inlineStr">
        <is>
          <t>10:30</t>
        </is>
      </c>
      <c r="K420" s="0" t="inlineStr">
        <is>
          <t>16:30</t>
        </is>
      </c>
      <c r="L420" s="0" t="inlineStr">
        <is>
          <t>否</t>
        </is>
      </c>
    </row>
    <row r="421">
      <c r="A421" s="0" t="inlineStr">
        <is>
          <t>香港專櫃課</t>
        </is>
      </c>
      <c r="B421" s="0" t="inlineStr">
        <is>
          <t>P0028</t>
        </is>
      </c>
      <c r="C421" s="0" t="inlineStr">
        <is>
          <t>盧天欣</t>
        </is>
      </c>
      <c r="D421" s="0" t="inlineStr">
        <is>
          <t>2026/06/22</t>
        </is>
      </c>
      <c r="E421" s="0" t="inlineStr">
        <is>
          <t>月休</t>
        </is>
      </c>
      <c r="I421" s="0" t="n">
        <v>0</v>
      </c>
    </row>
    <row r="422">
      <c r="A422" s="0" t="inlineStr">
        <is>
          <t>香港專櫃課</t>
        </is>
      </c>
      <c r="B422" s="0" t="inlineStr">
        <is>
          <t>P0028</t>
        </is>
      </c>
      <c r="C422" s="0" t="inlineStr">
        <is>
          <t>盧天欣</t>
        </is>
      </c>
      <c r="D422" s="0" t="inlineStr">
        <is>
          <t>2026/06/23</t>
        </is>
      </c>
      <c r="E422" s="0" t="inlineStr">
        <is>
          <t>月休</t>
        </is>
      </c>
      <c r="I422" s="0" t="n">
        <v>0</v>
      </c>
    </row>
    <row r="423">
      <c r="A423" s="0" t="inlineStr">
        <is>
          <t>香港專櫃課</t>
        </is>
      </c>
      <c r="B423" s="0" t="inlineStr">
        <is>
          <t>P0028</t>
        </is>
      </c>
      <c r="C423" s="0" t="inlineStr">
        <is>
          <t>盧天欣</t>
        </is>
      </c>
      <c r="D423" s="0" t="inlineStr">
        <is>
          <t>2026/06/24</t>
        </is>
      </c>
      <c r="E423" s="0" t="inlineStr">
        <is>
          <t>月休</t>
        </is>
      </c>
      <c r="I423" s="0" t="n">
        <v>0</v>
      </c>
    </row>
    <row r="424">
      <c r="A424" s="0" t="inlineStr">
        <is>
          <t>香港專櫃課</t>
        </is>
      </c>
      <c r="B424" s="0" t="inlineStr">
        <is>
          <t>P0028</t>
        </is>
      </c>
      <c r="C424" s="0" t="inlineStr">
        <is>
          <t>盧天欣</t>
        </is>
      </c>
      <c r="D424" s="0" t="inlineStr">
        <is>
          <t>2026/06/25</t>
        </is>
      </c>
      <c r="E424" s="0" t="inlineStr">
        <is>
          <t>月休</t>
        </is>
      </c>
      <c r="I424" s="0" t="n">
        <v>0</v>
      </c>
    </row>
    <row r="425">
      <c r="A425" s="0" t="inlineStr">
        <is>
          <t>香港專櫃課</t>
        </is>
      </c>
      <c r="B425" s="0" t="inlineStr">
        <is>
          <t>P0028</t>
        </is>
      </c>
      <c r="C425" s="0" t="inlineStr">
        <is>
          <t>盧天欣</t>
        </is>
      </c>
      <c r="D425" s="0" t="inlineStr">
        <is>
          <t>2026/06/26</t>
        </is>
      </c>
      <c r="E425" s="0" t="inlineStr">
        <is>
          <t>月休</t>
        </is>
      </c>
      <c r="I425" s="0" t="n">
        <v>0</v>
      </c>
    </row>
    <row r="426">
      <c r="A426" s="0" t="inlineStr">
        <is>
          <t>香港專櫃課</t>
        </is>
      </c>
      <c r="B426" s="0" t="inlineStr">
        <is>
          <t>P0028</t>
        </is>
      </c>
      <c r="C426" s="0" t="inlineStr">
        <is>
          <t>盧天欣</t>
        </is>
      </c>
      <c r="D426" s="0" t="inlineStr">
        <is>
          <t>2026/06/27</t>
        </is>
      </c>
      <c r="E426" s="0" t="inlineStr">
        <is>
          <t>上班</t>
        </is>
      </c>
      <c r="F426" s="0" t="inlineStr">
        <is>
          <t>香港晚班</t>
        </is>
      </c>
      <c r="G426" s="0" t="inlineStr">
        <is>
          <t>16:00</t>
        </is>
      </c>
      <c r="H426" s="0" t="inlineStr">
        <is>
          <t>21:00</t>
        </is>
      </c>
      <c r="I426" s="0" t="n">
        <v>5</v>
      </c>
      <c r="J426" s="0" t="inlineStr">
        <is>
          <t>16:00</t>
        </is>
      </c>
      <c r="K426" s="0" t="inlineStr">
        <is>
          <t>21:00</t>
        </is>
      </c>
      <c r="L426" s="0" t="inlineStr">
        <is>
          <t>否</t>
        </is>
      </c>
    </row>
    <row r="427">
      <c r="A427" s="0" t="inlineStr">
        <is>
          <t>香港專櫃課</t>
        </is>
      </c>
      <c r="B427" s="0" t="inlineStr">
        <is>
          <t>P0028</t>
        </is>
      </c>
      <c r="C427" s="0" t="inlineStr">
        <is>
          <t>盧天欣</t>
        </is>
      </c>
      <c r="D427" s="0" t="inlineStr">
        <is>
          <t>2026/06/28</t>
        </is>
      </c>
      <c r="E427" s="0" t="inlineStr">
        <is>
          <t>上班</t>
        </is>
      </c>
      <c r="F427" s="0" t="inlineStr">
        <is>
          <t>香港晚班</t>
        </is>
      </c>
      <c r="G427" s="0" t="inlineStr">
        <is>
          <t>16:00</t>
        </is>
      </c>
      <c r="H427" s="0" t="inlineStr">
        <is>
          <t>21:00</t>
        </is>
      </c>
      <c r="I427" s="0" t="n">
        <v>5</v>
      </c>
      <c r="J427" s="0" t="inlineStr">
        <is>
          <t>16:00</t>
        </is>
      </c>
      <c r="K427" s="0" t="inlineStr">
        <is>
          <t>21:00</t>
        </is>
      </c>
      <c r="L427" s="0" t="inlineStr">
        <is>
          <t>否</t>
        </is>
      </c>
    </row>
    <row r="428">
      <c r="A428" s="0" t="inlineStr">
        <is>
          <t>香港專櫃課</t>
        </is>
      </c>
      <c r="B428" s="0" t="inlineStr">
        <is>
          <t>P0028</t>
        </is>
      </c>
      <c r="C428" s="0" t="inlineStr">
        <is>
          <t>盧天欣</t>
        </is>
      </c>
      <c r="D428" s="0" t="inlineStr">
        <is>
          <t>2026/06/29</t>
        </is>
      </c>
      <c r="E428" s="0" t="inlineStr">
        <is>
          <t>月休</t>
        </is>
      </c>
      <c r="I428" s="0" t="n">
        <v>0</v>
      </c>
    </row>
    <row r="429">
      <c r="A429" s="0" t="inlineStr">
        <is>
          <t>香港專櫃課</t>
        </is>
      </c>
      <c r="B429" s="0" t="inlineStr">
        <is>
          <t>P0028</t>
        </is>
      </c>
      <c r="C429" s="0" t="inlineStr">
        <is>
          <t>盧天欣</t>
        </is>
      </c>
      <c r="D429" s="0" t="inlineStr">
        <is>
          <t>2026/06/30</t>
        </is>
      </c>
      <c r="E429" s="0" t="inlineStr">
        <is>
          <t>月休</t>
        </is>
      </c>
      <c r="I429" s="0" t="n">
        <v>0</v>
      </c>
    </row>
    <row r="430">
      <c r="A430" s="0" t="inlineStr">
        <is>
          <t>香港專櫃課</t>
        </is>
      </c>
      <c r="B430" s="0" t="inlineStr">
        <is>
          <t>P0028</t>
        </is>
      </c>
      <c r="C430" s="0" t="inlineStr">
        <is>
          <t>盧天欣</t>
        </is>
      </c>
      <c r="D430" s="0" t="inlineStr">
        <is>
          <t>2026/07/01</t>
        </is>
      </c>
      <c r="E430" s="0" t="inlineStr">
        <is>
          <t>國定假日</t>
        </is>
      </c>
      <c r="I430" s="0" t="n">
        <v>0</v>
      </c>
    </row>
    <row r="431">
      <c r="A431" s="0" t="inlineStr">
        <is>
          <t>香港專櫃課</t>
        </is>
      </c>
      <c r="B431" s="0" t="inlineStr">
        <is>
          <t>P0028</t>
        </is>
      </c>
      <c r="C431" s="0" t="inlineStr">
        <is>
          <t>盧天欣</t>
        </is>
      </c>
      <c r="D431" s="0" t="inlineStr">
        <is>
          <t>2026/07/02</t>
        </is>
      </c>
      <c r="I431" s="0" t="n">
        <v>0</v>
      </c>
    </row>
    <row r="432">
      <c r="A432" s="0" t="inlineStr">
        <is>
          <t>香港專櫃課</t>
        </is>
      </c>
      <c r="B432" s="0" t="inlineStr">
        <is>
          <t>P0028</t>
        </is>
      </c>
      <c r="C432" s="0" t="inlineStr">
        <is>
          <t>盧天欣</t>
        </is>
      </c>
      <c r="D432" s="0" t="inlineStr">
        <is>
          <t>2026/07/03</t>
        </is>
      </c>
      <c r="I432" s="0" t="n">
        <v>0</v>
      </c>
    </row>
    <row r="433">
      <c r="A433" s="0" t="inlineStr">
        <is>
          <t>香港專櫃課</t>
        </is>
      </c>
      <c r="B433" s="0" t="inlineStr">
        <is>
          <t>P0028</t>
        </is>
      </c>
      <c r="C433" s="0" t="inlineStr">
        <is>
          <t>盧天欣</t>
        </is>
      </c>
      <c r="D433" s="0" t="inlineStr">
        <is>
          <t>2026/07/04</t>
        </is>
      </c>
      <c r="E433" s="0" t="inlineStr">
        <is>
          <t>上班</t>
        </is>
      </c>
      <c r="F433" s="0" t="inlineStr">
        <is>
          <t>香港早班</t>
        </is>
      </c>
      <c r="G433" s="0" t="inlineStr">
        <is>
          <t>10:30</t>
        </is>
      </c>
      <c r="H433" s="0" t="inlineStr">
        <is>
          <t>16:30</t>
        </is>
      </c>
      <c r="I433" s="0" t="n">
        <v>6</v>
      </c>
      <c r="J433" s="0" t="inlineStr">
        <is>
          <t>10:30</t>
        </is>
      </c>
      <c r="K433" s="0" t="inlineStr">
        <is>
          <t>16:30</t>
        </is>
      </c>
      <c r="L433" s="0" t="inlineStr">
        <is>
          <t>否</t>
        </is>
      </c>
    </row>
    <row r="434">
      <c r="A434" s="0" t="inlineStr">
        <is>
          <t>香港專櫃課</t>
        </is>
      </c>
      <c r="B434" s="0" t="inlineStr">
        <is>
          <t>P0028</t>
        </is>
      </c>
      <c r="C434" s="0" t="inlineStr">
        <is>
          <t>盧天欣</t>
        </is>
      </c>
      <c r="D434" s="0" t="inlineStr">
        <is>
          <t>2026/07/05</t>
        </is>
      </c>
      <c r="E434" s="0" t="inlineStr">
        <is>
          <t>上班</t>
        </is>
      </c>
      <c r="F434" s="0" t="inlineStr">
        <is>
          <t>香港早班</t>
        </is>
      </c>
      <c r="G434" s="0" t="inlineStr">
        <is>
          <t>10:30</t>
        </is>
      </c>
      <c r="H434" s="0" t="inlineStr">
        <is>
          <t>16:30</t>
        </is>
      </c>
      <c r="I434" s="0" t="n">
        <v>6</v>
      </c>
      <c r="J434" s="0" t="inlineStr">
        <is>
          <t>10:30</t>
        </is>
      </c>
      <c r="K434" s="0" t="inlineStr">
        <is>
          <t>16:30</t>
        </is>
      </c>
      <c r="L434" s="0" t="inlineStr">
        <is>
          <t>否</t>
        </is>
      </c>
    </row>
    <row r="435">
      <c r="A435" s="0" t="inlineStr">
        <is>
          <t>香港專櫃課</t>
        </is>
      </c>
      <c r="B435" s="0" t="inlineStr">
        <is>
          <t>P0028</t>
        </is>
      </c>
      <c r="C435" s="0" t="inlineStr">
        <is>
          <t>盧天欣</t>
        </is>
      </c>
      <c r="D435" s="0" t="inlineStr">
        <is>
          <t>2026/07/06</t>
        </is>
      </c>
      <c r="I435" s="0" t="n">
        <v>0</v>
      </c>
    </row>
    <row r="436">
      <c r="A436" s="0" t="inlineStr">
        <is>
          <t>香港專櫃課</t>
        </is>
      </c>
      <c r="B436" s="0" t="inlineStr">
        <is>
          <t>P0028</t>
        </is>
      </c>
      <c r="C436" s="0" t="inlineStr">
        <is>
          <t>盧天欣</t>
        </is>
      </c>
      <c r="D436" s="0" t="inlineStr">
        <is>
          <t>2026/07/07</t>
        </is>
      </c>
      <c r="I436" s="0" t="n">
        <v>0</v>
      </c>
    </row>
    <row r="437">
      <c r="A437" s="0" t="inlineStr">
        <is>
          <t>香港專櫃課</t>
        </is>
      </c>
      <c r="B437" s="0" t="inlineStr">
        <is>
          <t>P0028</t>
        </is>
      </c>
      <c r="C437" s="0" t="inlineStr">
        <is>
          <t>盧天欣</t>
        </is>
      </c>
      <c r="D437" s="0" t="inlineStr">
        <is>
          <t>2026/07/08</t>
        </is>
      </c>
      <c r="I437" s="0" t="n">
        <v>0</v>
      </c>
    </row>
    <row r="438">
      <c r="A438" s="0" t="inlineStr">
        <is>
          <t>香港專櫃課</t>
        </is>
      </c>
      <c r="B438" s="0" t="inlineStr">
        <is>
          <t>P0028</t>
        </is>
      </c>
      <c r="C438" s="0" t="inlineStr">
        <is>
          <t>盧天欣</t>
        </is>
      </c>
      <c r="D438" s="0" t="inlineStr">
        <is>
          <t>2026/07/09</t>
        </is>
      </c>
      <c r="I438" s="0" t="n">
        <v>0</v>
      </c>
    </row>
    <row r="439">
      <c r="A439" s="0" t="inlineStr">
        <is>
          <t>香港專櫃課</t>
        </is>
      </c>
      <c r="B439" s="0" t="inlineStr">
        <is>
          <t>P0028</t>
        </is>
      </c>
      <c r="C439" s="0" t="inlineStr">
        <is>
          <t>盧天欣</t>
        </is>
      </c>
      <c r="D439" s="0" t="inlineStr">
        <is>
          <t>2026/07/10</t>
        </is>
      </c>
      <c r="I439" s="0" t="n">
        <v>0</v>
      </c>
    </row>
    <row r="440">
      <c r="A440" s="0" t="inlineStr">
        <is>
          <t>香港專櫃課</t>
        </is>
      </c>
      <c r="B440" s="0" t="inlineStr">
        <is>
          <t>P0028</t>
        </is>
      </c>
      <c r="C440" s="0" t="inlineStr">
        <is>
          <t>盧天欣</t>
        </is>
      </c>
      <c r="D440" s="0" t="inlineStr">
        <is>
          <t>2026/07/11</t>
        </is>
      </c>
      <c r="E440" s="0" t="inlineStr">
        <is>
          <t>上班</t>
        </is>
      </c>
      <c r="F440" s="0" t="inlineStr">
        <is>
          <t>香港ALL班</t>
        </is>
      </c>
      <c r="G440" s="0" t="inlineStr">
        <is>
          <t>10:30</t>
        </is>
      </c>
      <c r="H440" s="0" t="inlineStr">
        <is>
          <t>21:00</t>
        </is>
      </c>
      <c r="I440" s="0" t="n">
        <v>10.5</v>
      </c>
      <c r="J440" s="0" t="inlineStr">
        <is>
          <t>10:30</t>
        </is>
      </c>
      <c r="K440" s="0" t="inlineStr">
        <is>
          <t>21:00</t>
        </is>
      </c>
      <c r="L440" s="0" t="inlineStr">
        <is>
          <t>否</t>
        </is>
      </c>
    </row>
    <row r="441">
      <c r="A441" s="0" t="inlineStr">
        <is>
          <t>香港專櫃課</t>
        </is>
      </c>
      <c r="B441" s="0" t="inlineStr">
        <is>
          <t>P0028</t>
        </is>
      </c>
      <c r="C441" s="0" t="inlineStr">
        <is>
          <t>盧天欣</t>
        </is>
      </c>
      <c r="D441" s="0" t="inlineStr">
        <is>
          <t>2026/07/12</t>
        </is>
      </c>
      <c r="E441" s="0" t="inlineStr">
        <is>
          <t>上班</t>
        </is>
      </c>
      <c r="F441" s="0" t="inlineStr">
        <is>
          <t>香港早班</t>
        </is>
      </c>
      <c r="G441" s="0" t="inlineStr">
        <is>
          <t>10:30</t>
        </is>
      </c>
      <c r="H441" s="0" t="inlineStr">
        <is>
          <t>16:30</t>
        </is>
      </c>
      <c r="I441" s="0" t="n">
        <v>6</v>
      </c>
      <c r="J441" s="0" t="inlineStr">
        <is>
          <t>10:30</t>
        </is>
      </c>
      <c r="K441" s="0" t="inlineStr">
        <is>
          <t>16:30</t>
        </is>
      </c>
      <c r="L441" s="0" t="inlineStr">
        <is>
          <t>否</t>
        </is>
      </c>
    </row>
    <row r="442">
      <c r="A442" s="0" t="inlineStr">
        <is>
          <t>香港專櫃課</t>
        </is>
      </c>
      <c r="B442" s="0" t="inlineStr">
        <is>
          <t>P0028</t>
        </is>
      </c>
      <c r="C442" s="0" t="inlineStr">
        <is>
          <t>盧天欣</t>
        </is>
      </c>
      <c r="D442" s="0" t="inlineStr">
        <is>
          <t>2026/07/13</t>
        </is>
      </c>
      <c r="I442" s="0" t="n">
        <v>0</v>
      </c>
    </row>
    <row r="443">
      <c r="A443" s="0" t="inlineStr">
        <is>
          <t>香港專櫃課</t>
        </is>
      </c>
      <c r="B443" s="0" t="inlineStr">
        <is>
          <t>P0028</t>
        </is>
      </c>
      <c r="C443" s="0" t="inlineStr">
        <is>
          <t>盧天欣</t>
        </is>
      </c>
      <c r="D443" s="0" t="inlineStr">
        <is>
          <t>2026/07/14</t>
        </is>
      </c>
      <c r="I443" s="0" t="n">
        <v>0</v>
      </c>
    </row>
    <row r="444">
      <c r="A444" s="0" t="inlineStr">
        <is>
          <t>香港專櫃課</t>
        </is>
      </c>
      <c r="B444" s="0" t="inlineStr">
        <is>
          <t>P0028</t>
        </is>
      </c>
      <c r="C444" s="0" t="inlineStr">
        <is>
          <t>盧天欣</t>
        </is>
      </c>
      <c r="D444" s="0" t="inlineStr">
        <is>
          <t>2026/07/15</t>
        </is>
      </c>
      <c r="I444" s="0" t="n">
        <v>0</v>
      </c>
    </row>
    <row r="445">
      <c r="A445" s="0" t="inlineStr">
        <is>
          <t>香港專櫃課</t>
        </is>
      </c>
      <c r="B445" s="0" t="inlineStr">
        <is>
          <t>P0028</t>
        </is>
      </c>
      <c r="C445" s="0" t="inlineStr">
        <is>
          <t>盧天欣</t>
        </is>
      </c>
      <c r="D445" s="0" t="inlineStr">
        <is>
          <t>2026/07/16</t>
        </is>
      </c>
      <c r="I445" s="0" t="n">
        <v>0</v>
      </c>
    </row>
    <row r="446">
      <c r="A446" s="0" t="inlineStr">
        <is>
          <t>香港專櫃課</t>
        </is>
      </c>
      <c r="B446" s="0" t="inlineStr">
        <is>
          <t>P0028</t>
        </is>
      </c>
      <c r="C446" s="0" t="inlineStr">
        <is>
          <t>盧天欣</t>
        </is>
      </c>
      <c r="D446" s="0" t="inlineStr">
        <is>
          <t>2026/07/17</t>
        </is>
      </c>
      <c r="E446" s="0" t="inlineStr">
        <is>
          <t>上班</t>
        </is>
      </c>
      <c r="F446" s="0" t="inlineStr">
        <is>
          <t>香港ALL班</t>
        </is>
      </c>
      <c r="G446" s="0" t="inlineStr">
        <is>
          <t>10:30</t>
        </is>
      </c>
      <c r="H446" s="0" t="inlineStr">
        <is>
          <t>21:00</t>
        </is>
      </c>
      <c r="I446" s="0" t="n">
        <v>10.5</v>
      </c>
      <c r="J446" s="0" t="inlineStr">
        <is>
          <t>10:30</t>
        </is>
      </c>
      <c r="K446" s="0" t="inlineStr">
        <is>
          <t>21:00</t>
        </is>
      </c>
      <c r="L446" s="0" t="inlineStr">
        <is>
          <t>否</t>
        </is>
      </c>
    </row>
    <row r="447">
      <c r="A447" s="0" t="inlineStr">
        <is>
          <t>香港專櫃課</t>
        </is>
      </c>
      <c r="B447" s="0" t="inlineStr">
        <is>
          <t>P0028</t>
        </is>
      </c>
      <c r="C447" s="0" t="inlineStr">
        <is>
          <t>盧天欣</t>
        </is>
      </c>
      <c r="D447" s="0" t="inlineStr">
        <is>
          <t>2026/07/18</t>
        </is>
      </c>
      <c r="E447" s="0" t="inlineStr">
        <is>
          <t>上班</t>
        </is>
      </c>
      <c r="F447" s="0" t="inlineStr">
        <is>
          <t>香港晚班</t>
        </is>
      </c>
      <c r="G447" s="0" t="inlineStr">
        <is>
          <t>16:00</t>
        </is>
      </c>
      <c r="H447" s="0" t="inlineStr">
        <is>
          <t>21:00</t>
        </is>
      </c>
      <c r="I447" s="0" t="n">
        <v>5</v>
      </c>
      <c r="J447" s="0" t="inlineStr">
        <is>
          <t>16:00</t>
        </is>
      </c>
      <c r="K447" s="0" t="inlineStr">
        <is>
          <t>21:00</t>
        </is>
      </c>
      <c r="L447" s="0" t="inlineStr">
        <is>
          <t>否</t>
        </is>
      </c>
    </row>
    <row r="448">
      <c r="A448" s="0" t="inlineStr">
        <is>
          <t>香港專櫃課</t>
        </is>
      </c>
      <c r="B448" s="0" t="inlineStr">
        <is>
          <t>P0028</t>
        </is>
      </c>
      <c r="C448" s="0" t="inlineStr">
        <is>
          <t>盧天欣</t>
        </is>
      </c>
      <c r="D448" s="0" t="inlineStr">
        <is>
          <t>2026/07/19</t>
        </is>
      </c>
      <c r="I448" s="0" t="n">
        <v>0</v>
      </c>
    </row>
    <row r="449">
      <c r="A449" s="0" t="inlineStr">
        <is>
          <t>香港專櫃課</t>
        </is>
      </c>
      <c r="B449" s="0" t="inlineStr">
        <is>
          <t>P0028</t>
        </is>
      </c>
      <c r="C449" s="0" t="inlineStr">
        <is>
          <t>盧天欣</t>
        </is>
      </c>
      <c r="D449" s="0" t="inlineStr">
        <is>
          <t>2026/07/20</t>
        </is>
      </c>
      <c r="I449" s="0" t="n">
        <v>0</v>
      </c>
    </row>
    <row r="450">
      <c r="A450" s="0" t="inlineStr">
        <is>
          <t>香港專櫃課</t>
        </is>
      </c>
      <c r="B450" s="0" t="inlineStr">
        <is>
          <t>P0028</t>
        </is>
      </c>
      <c r="C450" s="0" t="inlineStr">
        <is>
          <t>盧天欣</t>
        </is>
      </c>
      <c r="D450" s="0" t="inlineStr">
        <is>
          <t>2026/07/21</t>
        </is>
      </c>
      <c r="I450" s="0" t="n">
        <v>0</v>
      </c>
    </row>
    <row r="451">
      <c r="A451" s="0" t="inlineStr">
        <is>
          <t>香港專櫃課</t>
        </is>
      </c>
      <c r="B451" s="0" t="inlineStr">
        <is>
          <t>P0028</t>
        </is>
      </c>
      <c r="C451" s="0" t="inlineStr">
        <is>
          <t>盧天欣</t>
        </is>
      </c>
      <c r="D451" s="0" t="inlineStr">
        <is>
          <t>2026/07/22</t>
        </is>
      </c>
      <c r="I451" s="0" t="n">
        <v>0</v>
      </c>
    </row>
    <row r="452">
      <c r="A452" s="0" t="inlineStr">
        <is>
          <t>香港專櫃課</t>
        </is>
      </c>
      <c r="B452" s="0" t="inlineStr">
        <is>
          <t>P0028</t>
        </is>
      </c>
      <c r="C452" s="0" t="inlineStr">
        <is>
          <t>盧天欣</t>
        </is>
      </c>
      <c r="D452" s="0" t="inlineStr">
        <is>
          <t>2026/07/23</t>
        </is>
      </c>
      <c r="I452" s="0" t="n">
        <v>0</v>
      </c>
    </row>
    <row r="453">
      <c r="A453" s="0" t="inlineStr">
        <is>
          <t>香港專櫃課</t>
        </is>
      </c>
      <c r="B453" s="0" t="inlineStr">
        <is>
          <t>P0028</t>
        </is>
      </c>
      <c r="C453" s="0" t="inlineStr">
        <is>
          <t>盧天欣</t>
        </is>
      </c>
      <c r="D453" s="0" t="inlineStr">
        <is>
          <t>2026/07/24</t>
        </is>
      </c>
      <c r="I453" s="0" t="n">
        <v>0</v>
      </c>
    </row>
    <row r="454">
      <c r="A454" s="0" t="inlineStr">
        <is>
          <t>香港專櫃課</t>
        </is>
      </c>
      <c r="B454" s="0" t="inlineStr">
        <is>
          <t>P0028</t>
        </is>
      </c>
      <c r="C454" s="0" t="inlineStr">
        <is>
          <t>盧天欣</t>
        </is>
      </c>
      <c r="D454" s="0" t="inlineStr">
        <is>
          <t>2026/07/25</t>
        </is>
      </c>
      <c r="E454" s="0" t="inlineStr">
        <is>
          <t>上班</t>
        </is>
      </c>
      <c r="F454" s="0" t="inlineStr">
        <is>
          <t>香港ALL班</t>
        </is>
      </c>
      <c r="G454" s="0" t="inlineStr">
        <is>
          <t>10:30</t>
        </is>
      </c>
      <c r="H454" s="0" t="inlineStr">
        <is>
          <t>21:00</t>
        </is>
      </c>
      <c r="I454" s="0" t="n">
        <v>10.5</v>
      </c>
      <c r="J454" s="0" t="inlineStr">
        <is>
          <t>10:30</t>
        </is>
      </c>
      <c r="K454" s="0" t="inlineStr">
        <is>
          <t>21:00</t>
        </is>
      </c>
      <c r="L454" s="0" t="inlineStr">
        <is>
          <t>否</t>
        </is>
      </c>
    </row>
    <row r="455">
      <c r="A455" s="0" t="inlineStr">
        <is>
          <t>香港專櫃課</t>
        </is>
      </c>
      <c r="B455" s="0" t="inlineStr">
        <is>
          <t>P0028</t>
        </is>
      </c>
      <c r="C455" s="0" t="inlineStr">
        <is>
          <t>盧天欣</t>
        </is>
      </c>
      <c r="D455" s="0" t="inlineStr">
        <is>
          <t>2026/07/26</t>
        </is>
      </c>
      <c r="E455" s="0" t="inlineStr">
        <is>
          <t>上班</t>
        </is>
      </c>
      <c r="F455" s="0" t="inlineStr">
        <is>
          <t>香港晚班</t>
        </is>
      </c>
      <c r="G455" s="0" t="inlineStr">
        <is>
          <t>16:00</t>
        </is>
      </c>
      <c r="H455" s="0" t="inlineStr">
        <is>
          <t>21:00</t>
        </is>
      </c>
      <c r="I455" s="0" t="n">
        <v>5</v>
      </c>
      <c r="J455" s="0" t="inlineStr">
        <is>
          <t>16:00</t>
        </is>
      </c>
      <c r="K455" s="0" t="inlineStr">
        <is>
          <t>21:00</t>
        </is>
      </c>
      <c r="L455" s="0" t="inlineStr">
        <is>
          <t>否</t>
        </is>
      </c>
    </row>
    <row r="456">
      <c r="A456" s="0" t="inlineStr">
        <is>
          <t>香港專櫃課</t>
        </is>
      </c>
      <c r="B456" s="0" t="inlineStr">
        <is>
          <t>P0028</t>
        </is>
      </c>
      <c r="C456" s="0" t="inlineStr">
        <is>
          <t>盧天欣</t>
        </is>
      </c>
      <c r="D456" s="0" t="inlineStr">
        <is>
          <t>2026/07/27</t>
        </is>
      </c>
      <c r="I456" s="0" t="n">
        <v>0</v>
      </c>
    </row>
    <row r="457">
      <c r="A457" s="0" t="inlineStr">
        <is>
          <t>香港專櫃課</t>
        </is>
      </c>
      <c r="B457" s="0" t="inlineStr">
        <is>
          <t>P0028</t>
        </is>
      </c>
      <c r="C457" s="0" t="inlineStr">
        <is>
          <t>盧天欣</t>
        </is>
      </c>
      <c r="D457" s="0" t="inlineStr">
        <is>
          <t>2026/07/28</t>
        </is>
      </c>
      <c r="I457" s="0" t="n">
        <v>0</v>
      </c>
    </row>
    <row r="458">
      <c r="A458" s="0" t="inlineStr">
        <is>
          <t>香港專櫃課</t>
        </is>
      </c>
      <c r="B458" s="0" t="inlineStr">
        <is>
          <t>P0028</t>
        </is>
      </c>
      <c r="C458" s="0" t="inlineStr">
        <is>
          <t>盧天欣</t>
        </is>
      </c>
      <c r="D458" s="0" t="inlineStr">
        <is>
          <t>2026/07/29</t>
        </is>
      </c>
      <c r="I458" s="0" t="n">
        <v>0</v>
      </c>
    </row>
    <row r="459">
      <c r="A459" s="0" t="inlineStr">
        <is>
          <t>香港專櫃課</t>
        </is>
      </c>
      <c r="B459" s="0" t="inlineStr">
        <is>
          <t>P0028</t>
        </is>
      </c>
      <c r="C459" s="0" t="inlineStr">
        <is>
          <t>盧天欣</t>
        </is>
      </c>
      <c r="D459" s="0" t="inlineStr">
        <is>
          <t>2026/07/30</t>
        </is>
      </c>
      <c r="I459" s="0" t="n">
        <v>0</v>
      </c>
    </row>
    <row r="460">
      <c r="A460" s="0" t="inlineStr">
        <is>
          <t>香港專櫃課</t>
        </is>
      </c>
      <c r="B460" s="0" t="inlineStr">
        <is>
          <t>P0028</t>
        </is>
      </c>
      <c r="C460" s="0" t="inlineStr">
        <is>
          <t>盧天欣</t>
        </is>
      </c>
      <c r="D460" s="0" t="inlineStr">
        <is>
          <t>2026/07/31</t>
        </is>
      </c>
      <c r="I460" s="0" t="n">
        <v>0</v>
      </c>
    </row>
    <row r="461">
      <c r="A461" s="0" t="inlineStr">
        <is>
          <t>香港專櫃課</t>
        </is>
      </c>
      <c r="B461" s="0" t="inlineStr">
        <is>
          <t>P0029</t>
        </is>
      </c>
      <c r="C461" s="0" t="inlineStr">
        <is>
          <t>林惠嫻</t>
        </is>
      </c>
      <c r="D461" s="0" t="inlineStr">
        <is>
          <t>2026/03/01</t>
        </is>
      </c>
      <c r="I461" s="0" t="n">
        <v>0</v>
      </c>
    </row>
    <row r="462">
      <c r="A462" s="0" t="inlineStr">
        <is>
          <t>香港專櫃課</t>
        </is>
      </c>
      <c r="B462" s="0" t="inlineStr">
        <is>
          <t>P0029</t>
        </is>
      </c>
      <c r="C462" s="0" t="inlineStr">
        <is>
          <t>林惠嫻</t>
        </is>
      </c>
      <c r="D462" s="0" t="inlineStr">
        <is>
          <t>2026/03/02</t>
        </is>
      </c>
      <c r="I462" s="0" t="n">
        <v>0</v>
      </c>
    </row>
    <row r="463">
      <c r="A463" s="0" t="inlineStr">
        <is>
          <t>香港專櫃課</t>
        </is>
      </c>
      <c r="B463" s="0" t="inlineStr">
        <is>
          <t>P0029</t>
        </is>
      </c>
      <c r="C463" s="0" t="inlineStr">
        <is>
          <t>林惠嫻</t>
        </is>
      </c>
      <c r="D463" s="0" t="inlineStr">
        <is>
          <t>2026/03/03</t>
        </is>
      </c>
      <c r="I463" s="0" t="n">
        <v>0</v>
      </c>
    </row>
    <row r="464">
      <c r="A464" s="0" t="inlineStr">
        <is>
          <t>香港專櫃課</t>
        </is>
      </c>
      <c r="B464" s="0" t="inlineStr">
        <is>
          <t>P0029</t>
        </is>
      </c>
      <c r="C464" s="0" t="inlineStr">
        <is>
          <t>林惠嫻</t>
        </is>
      </c>
      <c r="D464" s="0" t="inlineStr">
        <is>
          <t>2026/03/04</t>
        </is>
      </c>
      <c r="I464" s="0" t="n">
        <v>0</v>
      </c>
    </row>
    <row r="465">
      <c r="A465" s="0" t="inlineStr">
        <is>
          <t>香港專櫃課</t>
        </is>
      </c>
      <c r="B465" s="0" t="inlineStr">
        <is>
          <t>P0029</t>
        </is>
      </c>
      <c r="C465" s="0" t="inlineStr">
        <is>
          <t>林惠嫻</t>
        </is>
      </c>
      <c r="D465" s="0" t="inlineStr">
        <is>
          <t>2026/03/05</t>
        </is>
      </c>
      <c r="I465" s="0" t="n">
        <v>0</v>
      </c>
    </row>
    <row r="466">
      <c r="A466" s="0" t="inlineStr">
        <is>
          <t>香港專櫃課</t>
        </is>
      </c>
      <c r="B466" s="0" t="inlineStr">
        <is>
          <t>P0029</t>
        </is>
      </c>
      <c r="C466" s="0" t="inlineStr">
        <is>
          <t>林惠嫻</t>
        </is>
      </c>
      <c r="D466" s="0" t="inlineStr">
        <is>
          <t>2026/03/06</t>
        </is>
      </c>
      <c r="I466" s="0" t="n">
        <v>0</v>
      </c>
    </row>
    <row r="467">
      <c r="A467" s="0" t="inlineStr">
        <is>
          <t>香港專櫃課</t>
        </is>
      </c>
      <c r="B467" s="0" t="inlineStr">
        <is>
          <t>P0029</t>
        </is>
      </c>
      <c r="C467" s="0" t="inlineStr">
        <is>
          <t>林惠嫻</t>
        </is>
      </c>
      <c r="D467" s="0" t="inlineStr">
        <is>
          <t>2026/03/07</t>
        </is>
      </c>
      <c r="I467" s="0" t="n">
        <v>0</v>
      </c>
    </row>
    <row r="468">
      <c r="A468" s="0" t="inlineStr">
        <is>
          <t>香港專櫃課</t>
        </is>
      </c>
      <c r="B468" s="0" t="inlineStr">
        <is>
          <t>P0029</t>
        </is>
      </c>
      <c r="C468" s="0" t="inlineStr">
        <is>
          <t>林惠嫻</t>
        </is>
      </c>
      <c r="D468" s="0" t="inlineStr">
        <is>
          <t>2026/03/08</t>
        </is>
      </c>
      <c r="I468" s="0" t="n">
        <v>0</v>
      </c>
    </row>
    <row r="469">
      <c r="A469" s="0" t="inlineStr">
        <is>
          <t>香港專櫃課</t>
        </is>
      </c>
      <c r="B469" s="0" t="inlineStr">
        <is>
          <t>P0029</t>
        </is>
      </c>
      <c r="C469" s="0" t="inlineStr">
        <is>
          <t>林惠嫻</t>
        </is>
      </c>
      <c r="D469" s="0" t="inlineStr">
        <is>
          <t>2026/03/09</t>
        </is>
      </c>
      <c r="I469" s="0" t="n">
        <v>0</v>
      </c>
    </row>
    <row r="470">
      <c r="A470" s="0" t="inlineStr">
        <is>
          <t>香港專櫃課</t>
        </is>
      </c>
      <c r="B470" s="0" t="inlineStr">
        <is>
          <t>P0029</t>
        </is>
      </c>
      <c r="C470" s="0" t="inlineStr">
        <is>
          <t>林惠嫻</t>
        </is>
      </c>
      <c r="D470" s="0" t="inlineStr">
        <is>
          <t>2026/03/10</t>
        </is>
      </c>
      <c r="I470" s="0" t="n">
        <v>0</v>
      </c>
    </row>
    <row r="471">
      <c r="A471" s="0" t="inlineStr">
        <is>
          <t>香港專櫃課</t>
        </is>
      </c>
      <c r="B471" s="0" t="inlineStr">
        <is>
          <t>P0029</t>
        </is>
      </c>
      <c r="C471" s="0" t="inlineStr">
        <is>
          <t>林惠嫻</t>
        </is>
      </c>
      <c r="D471" s="0" t="inlineStr">
        <is>
          <t>2026/03/11</t>
        </is>
      </c>
      <c r="I471" s="0" t="n">
        <v>0</v>
      </c>
    </row>
    <row r="472">
      <c r="A472" s="0" t="inlineStr">
        <is>
          <t>香港專櫃課</t>
        </is>
      </c>
      <c r="B472" s="0" t="inlineStr">
        <is>
          <t>P0029</t>
        </is>
      </c>
      <c r="C472" s="0" t="inlineStr">
        <is>
          <t>林惠嫻</t>
        </is>
      </c>
      <c r="D472" s="0" t="inlineStr">
        <is>
          <t>2026/03/12</t>
        </is>
      </c>
      <c r="E472" s="0" t="inlineStr">
        <is>
          <t>上班</t>
        </is>
      </c>
      <c r="F472" s="0" t="inlineStr">
        <is>
          <t>職前訓練</t>
        </is>
      </c>
      <c r="G472" s="0" t="inlineStr">
        <is>
          <t>18:00</t>
        </is>
      </c>
      <c r="H472" s="0" t="inlineStr">
        <is>
          <t>20:00</t>
        </is>
      </c>
      <c r="I472" s="0" t="n">
        <v>2</v>
      </c>
      <c r="J472" s="0" t="inlineStr">
        <is>
          <t>18:00</t>
        </is>
      </c>
      <c r="K472" s="0" t="inlineStr">
        <is>
          <t>20:00</t>
        </is>
      </c>
      <c r="L472" s="0" t="inlineStr">
        <is>
          <t>否</t>
        </is>
      </c>
    </row>
    <row r="473">
      <c r="A473" s="0" t="inlineStr">
        <is>
          <t>香港專櫃課</t>
        </is>
      </c>
      <c r="B473" s="0" t="inlineStr">
        <is>
          <t>P0029</t>
        </is>
      </c>
      <c r="C473" s="0" t="inlineStr">
        <is>
          <t>林惠嫻</t>
        </is>
      </c>
      <c r="D473" s="0" t="inlineStr">
        <is>
          <t>2026/03/13</t>
        </is>
      </c>
      <c r="I473" s="0" t="n">
        <v>0</v>
      </c>
    </row>
    <row r="474">
      <c r="A474" s="0" t="inlineStr">
        <is>
          <t>香港專櫃課</t>
        </is>
      </c>
      <c r="B474" s="0" t="inlineStr">
        <is>
          <t>P0029</t>
        </is>
      </c>
      <c r="C474" s="0" t="inlineStr">
        <is>
          <t>林惠嫻</t>
        </is>
      </c>
      <c r="D474" s="0" t="inlineStr">
        <is>
          <t>2026/03/14</t>
        </is>
      </c>
      <c r="E474" s="0" t="inlineStr">
        <is>
          <t>上班</t>
        </is>
      </c>
      <c r="F474" s="0" t="inlineStr">
        <is>
          <t>香港晚班</t>
        </is>
      </c>
      <c r="G474" s="0" t="inlineStr">
        <is>
          <t>19:00</t>
        </is>
      </c>
      <c r="H474" s="0" t="inlineStr">
        <is>
          <t>21:00</t>
        </is>
      </c>
      <c r="I474" s="0" t="n">
        <v>2</v>
      </c>
      <c r="J474" s="0" t="inlineStr">
        <is>
          <t>19:00</t>
        </is>
      </c>
      <c r="K474" s="0" t="inlineStr">
        <is>
          <t>21:00</t>
        </is>
      </c>
      <c r="L474" s="0" t="inlineStr">
        <is>
          <t>否</t>
        </is>
      </c>
    </row>
    <row r="475">
      <c r="A475" s="0" t="inlineStr">
        <is>
          <t>香港專櫃課</t>
        </is>
      </c>
      <c r="B475" s="0" t="inlineStr">
        <is>
          <t>P0029</t>
        </is>
      </c>
      <c r="C475" s="0" t="inlineStr">
        <is>
          <t>林惠嫻</t>
        </is>
      </c>
      <c r="D475" s="0" t="inlineStr">
        <is>
          <t>2026/03/15</t>
        </is>
      </c>
      <c r="E475" s="0" t="inlineStr">
        <is>
          <t>上班</t>
        </is>
      </c>
      <c r="F475" s="0" t="inlineStr">
        <is>
          <t>職前訓練</t>
        </is>
      </c>
      <c r="G475" s="0" t="inlineStr">
        <is>
          <t>18:00</t>
        </is>
      </c>
      <c r="H475" s="0" t="inlineStr">
        <is>
          <t>20:00</t>
        </is>
      </c>
      <c r="I475" s="0" t="n">
        <v>2</v>
      </c>
      <c r="J475" s="0" t="inlineStr">
        <is>
          <t>18:00</t>
        </is>
      </c>
      <c r="K475" s="0" t="inlineStr">
        <is>
          <t>20:00</t>
        </is>
      </c>
      <c r="L475" s="0" t="inlineStr">
        <is>
          <t>否</t>
        </is>
      </c>
    </row>
    <row r="476">
      <c r="A476" s="0" t="inlineStr">
        <is>
          <t>香港專櫃課</t>
        </is>
      </c>
      <c r="B476" s="0" t="inlineStr">
        <is>
          <t>P0029</t>
        </is>
      </c>
      <c r="C476" s="0" t="inlineStr">
        <is>
          <t>林惠嫻</t>
        </is>
      </c>
      <c r="D476" s="0" t="inlineStr">
        <is>
          <t>2026/03/16</t>
        </is>
      </c>
      <c r="I476" s="0" t="n">
        <v>0</v>
      </c>
    </row>
    <row r="477">
      <c r="A477" s="0" t="inlineStr">
        <is>
          <t>香港專櫃課</t>
        </is>
      </c>
      <c r="B477" s="0" t="inlineStr">
        <is>
          <t>P0029</t>
        </is>
      </c>
      <c r="C477" s="0" t="inlineStr">
        <is>
          <t>林惠嫻</t>
        </is>
      </c>
      <c r="D477" s="0" t="inlineStr">
        <is>
          <t>2026/03/17</t>
        </is>
      </c>
      <c r="I477" s="0" t="n">
        <v>0</v>
      </c>
    </row>
    <row r="478">
      <c r="A478" s="0" t="inlineStr">
        <is>
          <t>香港專櫃課</t>
        </is>
      </c>
      <c r="B478" s="0" t="inlineStr">
        <is>
          <t>P0029</t>
        </is>
      </c>
      <c r="C478" s="0" t="inlineStr">
        <is>
          <t>林惠嫻</t>
        </is>
      </c>
      <c r="D478" s="0" t="inlineStr">
        <is>
          <t>2026/03/18</t>
        </is>
      </c>
      <c r="I478" s="0" t="n">
        <v>0</v>
      </c>
    </row>
    <row r="479">
      <c r="A479" s="0" t="inlineStr">
        <is>
          <t>香港專櫃課</t>
        </is>
      </c>
      <c r="B479" s="0" t="inlineStr">
        <is>
          <t>P0029</t>
        </is>
      </c>
      <c r="C479" s="0" t="inlineStr">
        <is>
          <t>林惠嫻</t>
        </is>
      </c>
      <c r="D479" s="0" t="inlineStr">
        <is>
          <t>2026/03/19</t>
        </is>
      </c>
      <c r="E479" s="0" t="inlineStr">
        <is>
          <t>上班</t>
        </is>
      </c>
      <c r="F479" s="0" t="inlineStr">
        <is>
          <t>香港早班</t>
        </is>
      </c>
      <c r="G479" s="0" t="inlineStr">
        <is>
          <t>09:30</t>
        </is>
      </c>
      <c r="H479" s="0" t="inlineStr">
        <is>
          <t>16:30</t>
        </is>
      </c>
      <c r="I479" s="0" t="n">
        <v>7</v>
      </c>
      <c r="J479" s="0" t="inlineStr">
        <is>
          <t>09:30</t>
        </is>
      </c>
      <c r="K479" s="0" t="inlineStr">
        <is>
          <t>16:30</t>
        </is>
      </c>
      <c r="L479" s="0" t="inlineStr">
        <is>
          <t>否</t>
        </is>
      </c>
    </row>
    <row r="480">
      <c r="A480" s="0" t="inlineStr">
        <is>
          <t>香港專櫃課</t>
        </is>
      </c>
      <c r="B480" s="0" t="inlineStr">
        <is>
          <t>P0029</t>
        </is>
      </c>
      <c r="C480" s="0" t="inlineStr">
        <is>
          <t>林惠嫻</t>
        </is>
      </c>
      <c r="D480" s="0" t="inlineStr">
        <is>
          <t>2026/03/20</t>
        </is>
      </c>
      <c r="E480" s="0" t="inlineStr">
        <is>
          <t>上班</t>
        </is>
      </c>
      <c r="F480" s="0" t="inlineStr">
        <is>
          <t>香港晚班</t>
        </is>
      </c>
      <c r="G480" s="0" t="inlineStr">
        <is>
          <t>16:00</t>
        </is>
      </c>
      <c r="H480" s="0" t="inlineStr">
        <is>
          <t>22:00</t>
        </is>
      </c>
      <c r="I480" s="0" t="n">
        <v>6</v>
      </c>
      <c r="J480" s="0" t="inlineStr">
        <is>
          <t>16:00</t>
        </is>
      </c>
      <c r="K480" s="0" t="inlineStr">
        <is>
          <t>22:00</t>
        </is>
      </c>
      <c r="L480" s="0" t="inlineStr">
        <is>
          <t>否</t>
        </is>
      </c>
    </row>
    <row r="481">
      <c r="A481" s="0" t="inlineStr">
        <is>
          <t>香港專櫃課</t>
        </is>
      </c>
      <c r="B481" s="0" t="inlineStr">
        <is>
          <t>P0029</t>
        </is>
      </c>
      <c r="C481" s="0" t="inlineStr">
        <is>
          <t>林惠嫻</t>
        </is>
      </c>
      <c r="D481" s="0" t="inlineStr">
        <is>
          <t>2026/03/21</t>
        </is>
      </c>
      <c r="E481" s="0" t="inlineStr">
        <is>
          <t>上班</t>
        </is>
      </c>
      <c r="F481" s="0" t="inlineStr">
        <is>
          <t>香港晚班</t>
        </is>
      </c>
      <c r="G481" s="0" t="inlineStr">
        <is>
          <t>16:00</t>
        </is>
      </c>
      <c r="H481" s="0" t="inlineStr">
        <is>
          <t>22:00</t>
        </is>
      </c>
      <c r="I481" s="0" t="n">
        <v>6</v>
      </c>
      <c r="J481" s="0" t="inlineStr">
        <is>
          <t>16:00</t>
        </is>
      </c>
      <c r="K481" s="0" t="inlineStr">
        <is>
          <t>22:00</t>
        </is>
      </c>
      <c r="L481" s="0" t="inlineStr">
        <is>
          <t>否</t>
        </is>
      </c>
    </row>
    <row r="482">
      <c r="A482" s="0" t="inlineStr">
        <is>
          <t>香港專櫃課</t>
        </is>
      </c>
      <c r="B482" s="0" t="inlineStr">
        <is>
          <t>P0029</t>
        </is>
      </c>
      <c r="C482" s="0" t="inlineStr">
        <is>
          <t>林惠嫻</t>
        </is>
      </c>
      <c r="D482" s="0" t="inlineStr">
        <is>
          <t>2026/03/22</t>
        </is>
      </c>
      <c r="E482" s="0" t="inlineStr">
        <is>
          <t>上班</t>
        </is>
      </c>
      <c r="F482" s="0" t="inlineStr">
        <is>
          <t>香港早班</t>
        </is>
      </c>
      <c r="G482" s="0" t="inlineStr">
        <is>
          <t>09:30</t>
        </is>
      </c>
      <c r="H482" s="0" t="inlineStr">
        <is>
          <t>16:30</t>
        </is>
      </c>
      <c r="I482" s="0" t="n">
        <v>7</v>
      </c>
      <c r="J482" s="0" t="inlineStr">
        <is>
          <t>09:30</t>
        </is>
      </c>
      <c r="K482" s="0" t="inlineStr">
        <is>
          <t>16:30</t>
        </is>
      </c>
      <c r="L482" s="0" t="inlineStr">
        <is>
          <t>否</t>
        </is>
      </c>
    </row>
    <row r="483">
      <c r="A483" s="0" t="inlineStr">
        <is>
          <t>香港專櫃課</t>
        </is>
      </c>
      <c r="B483" s="0" t="inlineStr">
        <is>
          <t>P0029</t>
        </is>
      </c>
      <c r="C483" s="0" t="inlineStr">
        <is>
          <t>林惠嫻</t>
        </is>
      </c>
      <c r="D483" s="0" t="inlineStr">
        <is>
          <t>2026/03/23</t>
        </is>
      </c>
      <c r="E483" s="0" t="inlineStr">
        <is>
          <t>月休</t>
        </is>
      </c>
      <c r="I483" s="0" t="n">
        <v>0</v>
      </c>
    </row>
    <row r="484">
      <c r="A484" s="0" t="inlineStr">
        <is>
          <t>香港專櫃課</t>
        </is>
      </c>
      <c r="B484" s="0" t="inlineStr">
        <is>
          <t>P0029</t>
        </is>
      </c>
      <c r="C484" s="0" t="inlineStr">
        <is>
          <t>林惠嫻</t>
        </is>
      </c>
      <c r="D484" s="0" t="inlineStr">
        <is>
          <t>2026/03/24</t>
        </is>
      </c>
      <c r="E484" s="0" t="inlineStr">
        <is>
          <t>上班</t>
        </is>
      </c>
      <c r="F484" s="0" t="inlineStr">
        <is>
          <t>香港早班</t>
        </is>
      </c>
      <c r="G484" s="0" t="inlineStr">
        <is>
          <t>10:30</t>
        </is>
      </c>
      <c r="H484" s="0" t="inlineStr">
        <is>
          <t>16:30</t>
        </is>
      </c>
      <c r="I484" s="0" t="n">
        <v>6</v>
      </c>
      <c r="J484" s="0" t="inlineStr">
        <is>
          <t>10:30</t>
        </is>
      </c>
      <c r="K484" s="0" t="inlineStr">
        <is>
          <t>16:30</t>
        </is>
      </c>
      <c r="L484" s="0" t="inlineStr">
        <is>
          <t>否</t>
        </is>
      </c>
    </row>
    <row r="485">
      <c r="A485" s="0" t="inlineStr">
        <is>
          <t>香港專櫃課</t>
        </is>
      </c>
      <c r="B485" s="0" t="inlineStr">
        <is>
          <t>P0029</t>
        </is>
      </c>
      <c r="C485" s="0" t="inlineStr">
        <is>
          <t>林惠嫻</t>
        </is>
      </c>
      <c r="D485" s="0" t="inlineStr">
        <is>
          <t>2026/03/25</t>
        </is>
      </c>
      <c r="E485" s="0" t="inlineStr">
        <is>
          <t>月休</t>
        </is>
      </c>
      <c r="I485" s="0" t="n">
        <v>0</v>
      </c>
    </row>
    <row r="486">
      <c r="A486" s="0" t="inlineStr">
        <is>
          <t>香港專櫃課</t>
        </is>
      </c>
      <c r="B486" s="0" t="inlineStr">
        <is>
          <t>P0029</t>
        </is>
      </c>
      <c r="C486" s="0" t="inlineStr">
        <is>
          <t>林惠嫻</t>
        </is>
      </c>
      <c r="D486" s="0" t="inlineStr">
        <is>
          <t>2026/03/26</t>
        </is>
      </c>
      <c r="E486" s="0" t="inlineStr">
        <is>
          <t>上班</t>
        </is>
      </c>
      <c r="F486" s="0" t="inlineStr">
        <is>
          <t>香港早班</t>
        </is>
      </c>
      <c r="G486" s="0" t="inlineStr">
        <is>
          <t>10:30</t>
        </is>
      </c>
      <c r="H486" s="0" t="inlineStr">
        <is>
          <t>16:30</t>
        </is>
      </c>
      <c r="I486" s="0" t="n">
        <v>6</v>
      </c>
      <c r="J486" s="0" t="inlineStr">
        <is>
          <t>10:30</t>
        </is>
      </c>
      <c r="K486" s="0" t="inlineStr">
        <is>
          <t>16:30</t>
        </is>
      </c>
      <c r="L486" s="0" t="inlineStr">
        <is>
          <t>否</t>
        </is>
      </c>
    </row>
    <row r="487">
      <c r="A487" s="0" t="inlineStr">
        <is>
          <t>香港專櫃課</t>
        </is>
      </c>
      <c r="B487" s="0" t="inlineStr">
        <is>
          <t>P0030</t>
        </is>
      </c>
      <c r="C487" s="0" t="inlineStr">
        <is>
          <t>周夏愉</t>
        </is>
      </c>
      <c r="D487" s="0" t="inlineStr">
        <is>
          <t>2026/03/09</t>
        </is>
      </c>
      <c r="I487" s="0" t="n">
        <v>0</v>
      </c>
    </row>
    <row r="488">
      <c r="A488" s="0" t="inlineStr">
        <is>
          <t>香港專櫃課</t>
        </is>
      </c>
      <c r="B488" s="0" t="inlineStr">
        <is>
          <t>P0030</t>
        </is>
      </c>
      <c r="C488" s="0" t="inlineStr">
        <is>
          <t>周夏愉</t>
        </is>
      </c>
      <c r="D488" s="0" t="inlineStr">
        <is>
          <t>2026/03/10</t>
        </is>
      </c>
      <c r="I488" s="0" t="n">
        <v>0</v>
      </c>
    </row>
    <row r="489">
      <c r="A489" s="0" t="inlineStr">
        <is>
          <t>香港專櫃課</t>
        </is>
      </c>
      <c r="B489" s="0" t="inlineStr">
        <is>
          <t>P0030</t>
        </is>
      </c>
      <c r="C489" s="0" t="inlineStr">
        <is>
          <t>周夏愉</t>
        </is>
      </c>
      <c r="D489" s="0" t="inlineStr">
        <is>
          <t>2026/03/11</t>
        </is>
      </c>
      <c r="I489" s="0" t="n">
        <v>0</v>
      </c>
    </row>
    <row r="490">
      <c r="A490" s="0" t="inlineStr">
        <is>
          <t>香港專櫃課</t>
        </is>
      </c>
      <c r="B490" s="0" t="inlineStr">
        <is>
          <t>P0030</t>
        </is>
      </c>
      <c r="C490" s="0" t="inlineStr">
        <is>
          <t>周夏愉</t>
        </is>
      </c>
      <c r="D490" s="0" t="inlineStr">
        <is>
          <t>2026/03/12</t>
        </is>
      </c>
      <c r="E490" s="0" t="inlineStr">
        <is>
          <t>上班</t>
        </is>
      </c>
      <c r="F490" s="0" t="inlineStr">
        <is>
          <t>職前訓練</t>
        </is>
      </c>
      <c r="G490" s="0" t="inlineStr">
        <is>
          <t>18:00</t>
        </is>
      </c>
      <c r="H490" s="0" t="inlineStr">
        <is>
          <t>20:00</t>
        </is>
      </c>
      <c r="I490" s="0" t="n">
        <v>2</v>
      </c>
      <c r="J490" s="0" t="inlineStr">
        <is>
          <t>18:00</t>
        </is>
      </c>
      <c r="K490" s="0" t="inlineStr">
        <is>
          <t>20:00</t>
        </is>
      </c>
      <c r="L490" s="0" t="inlineStr">
        <is>
          <t>否</t>
        </is>
      </c>
    </row>
    <row r="491">
      <c r="A491" s="0" t="inlineStr">
        <is>
          <t>香港專櫃課</t>
        </is>
      </c>
      <c r="B491" s="0" t="inlineStr">
        <is>
          <t>P0030</t>
        </is>
      </c>
      <c r="C491" s="0" t="inlineStr">
        <is>
          <t>周夏愉</t>
        </is>
      </c>
      <c r="D491" s="0" t="inlineStr">
        <is>
          <t>2026/03/13</t>
        </is>
      </c>
      <c r="I491" s="0" t="n">
        <v>0</v>
      </c>
    </row>
    <row r="492">
      <c r="A492" s="0" t="inlineStr">
        <is>
          <t>香港專櫃課</t>
        </is>
      </c>
      <c r="B492" s="0" t="inlineStr">
        <is>
          <t>P0030</t>
        </is>
      </c>
      <c r="C492" s="0" t="inlineStr">
        <is>
          <t>周夏愉</t>
        </is>
      </c>
      <c r="D492" s="0" t="inlineStr">
        <is>
          <t>2026/03/14</t>
        </is>
      </c>
      <c r="E492" s="0" t="inlineStr">
        <is>
          <t>上班</t>
        </is>
      </c>
      <c r="F492" s="0" t="inlineStr">
        <is>
          <t>職前訓練</t>
        </is>
      </c>
      <c r="G492" s="0" t="inlineStr">
        <is>
          <t>19:00</t>
        </is>
      </c>
      <c r="H492" s="0" t="inlineStr">
        <is>
          <t>21:00</t>
        </is>
      </c>
      <c r="I492" s="0" t="n">
        <v>2</v>
      </c>
      <c r="J492" s="0" t="inlineStr">
        <is>
          <t>19:00</t>
        </is>
      </c>
      <c r="K492" s="0" t="inlineStr">
        <is>
          <t>21:00</t>
        </is>
      </c>
      <c r="L492" s="0" t="inlineStr">
        <is>
          <t>否</t>
        </is>
      </c>
    </row>
    <row r="493">
      <c r="A493" s="0" t="inlineStr">
        <is>
          <t>香港專櫃課</t>
        </is>
      </c>
      <c r="B493" s="0" t="inlineStr">
        <is>
          <t>P0030</t>
        </is>
      </c>
      <c r="C493" s="0" t="inlineStr">
        <is>
          <t>周夏愉</t>
        </is>
      </c>
      <c r="D493" s="0" t="inlineStr">
        <is>
          <t>2026/03/15</t>
        </is>
      </c>
      <c r="E493" s="0" t="inlineStr">
        <is>
          <t>上班</t>
        </is>
      </c>
      <c r="F493" s="0" t="inlineStr">
        <is>
          <t>香港晚班</t>
        </is>
      </c>
      <c r="G493" s="0" t="inlineStr">
        <is>
          <t>18:00</t>
        </is>
      </c>
      <c r="H493" s="0" t="inlineStr">
        <is>
          <t>20:00</t>
        </is>
      </c>
      <c r="I493" s="0" t="n">
        <v>2</v>
      </c>
      <c r="J493" s="0" t="inlineStr">
        <is>
          <t>18:00</t>
        </is>
      </c>
      <c r="K493" s="0" t="inlineStr">
        <is>
          <t>20:00</t>
        </is>
      </c>
      <c r="L493" s="0" t="inlineStr">
        <is>
          <t>否</t>
        </is>
      </c>
    </row>
    <row r="494">
      <c r="A494" s="0" t="inlineStr">
        <is>
          <t>香港專櫃課</t>
        </is>
      </c>
      <c r="B494" s="0" t="inlineStr">
        <is>
          <t>P0030</t>
        </is>
      </c>
      <c r="C494" s="0" t="inlineStr">
        <is>
          <t>周夏愉</t>
        </is>
      </c>
      <c r="D494" s="0" t="inlineStr">
        <is>
          <t>2026/03/16</t>
        </is>
      </c>
      <c r="I494" s="0" t="n">
        <v>0</v>
      </c>
    </row>
    <row r="495">
      <c r="A495" s="0" t="inlineStr">
        <is>
          <t>香港專櫃課</t>
        </is>
      </c>
      <c r="B495" s="0" t="inlineStr">
        <is>
          <t>P0030</t>
        </is>
      </c>
      <c r="C495" s="0" t="inlineStr">
        <is>
          <t>周夏愉</t>
        </is>
      </c>
      <c r="D495" s="0" t="inlineStr">
        <is>
          <t>2026/03/17</t>
        </is>
      </c>
      <c r="I495" s="0" t="n">
        <v>0</v>
      </c>
    </row>
    <row r="496">
      <c r="A496" s="0" t="inlineStr">
        <is>
          <t>香港專櫃課</t>
        </is>
      </c>
      <c r="B496" s="0" t="inlineStr">
        <is>
          <t>P0030</t>
        </is>
      </c>
      <c r="C496" s="0" t="inlineStr">
        <is>
          <t>周夏愉</t>
        </is>
      </c>
      <c r="D496" s="0" t="inlineStr">
        <is>
          <t>2026/03/18</t>
        </is>
      </c>
      <c r="I496" s="0" t="n">
        <v>0</v>
      </c>
    </row>
    <row r="497">
      <c r="A497" s="0" t="inlineStr">
        <is>
          <t>香港專櫃課</t>
        </is>
      </c>
      <c r="B497" s="0" t="inlineStr">
        <is>
          <t>P0030</t>
        </is>
      </c>
      <c r="C497" s="0" t="inlineStr">
        <is>
          <t>周夏愉</t>
        </is>
      </c>
      <c r="D497" s="0" t="inlineStr">
        <is>
          <t>2026/03/19</t>
        </is>
      </c>
      <c r="E497" s="0" t="inlineStr">
        <is>
          <t>月休</t>
        </is>
      </c>
      <c r="I497" s="0" t="n">
        <v>0</v>
      </c>
    </row>
    <row r="498">
      <c r="A498" s="0" t="inlineStr">
        <is>
          <t>香港專櫃課</t>
        </is>
      </c>
      <c r="B498" s="0" t="inlineStr">
        <is>
          <t>P0030</t>
        </is>
      </c>
      <c r="C498" s="0" t="inlineStr">
        <is>
          <t>周夏愉</t>
        </is>
      </c>
      <c r="D498" s="0" t="inlineStr">
        <is>
          <t>2026/03/20</t>
        </is>
      </c>
      <c r="E498" s="0" t="inlineStr">
        <is>
          <t>月休</t>
        </is>
      </c>
      <c r="I498" s="0" t="n">
        <v>0</v>
      </c>
    </row>
    <row r="499">
      <c r="A499" s="0" t="inlineStr">
        <is>
          <t>香港專櫃課</t>
        </is>
      </c>
      <c r="B499" s="0" t="inlineStr">
        <is>
          <t>P0030</t>
        </is>
      </c>
      <c r="C499" s="0" t="inlineStr">
        <is>
          <t>周夏愉</t>
        </is>
      </c>
      <c r="D499" s="0" t="inlineStr">
        <is>
          <t>2026/03/21</t>
        </is>
      </c>
      <c r="E499" s="0" t="inlineStr">
        <is>
          <t>上班</t>
        </is>
      </c>
      <c r="F499" s="0" t="inlineStr">
        <is>
          <t>香港早班</t>
        </is>
      </c>
      <c r="G499" s="0" t="inlineStr">
        <is>
          <t>09:30</t>
        </is>
      </c>
      <c r="H499" s="0" t="inlineStr">
        <is>
          <t>16:30</t>
        </is>
      </c>
      <c r="I499" s="0" t="n">
        <v>7</v>
      </c>
      <c r="J499" s="0" t="inlineStr">
        <is>
          <t>09:30</t>
        </is>
      </c>
      <c r="K499" s="0" t="inlineStr">
        <is>
          <t>16:30</t>
        </is>
      </c>
      <c r="L499" s="0" t="inlineStr">
        <is>
          <t>否</t>
        </is>
      </c>
    </row>
    <row r="500">
      <c r="A500" s="0" t="inlineStr">
        <is>
          <t>香港專櫃課</t>
        </is>
      </c>
      <c r="B500" s="0" t="inlineStr">
        <is>
          <t>P0030</t>
        </is>
      </c>
      <c r="C500" s="0" t="inlineStr">
        <is>
          <t>周夏愉</t>
        </is>
      </c>
      <c r="D500" s="0" t="inlineStr">
        <is>
          <t>2026/03/22</t>
        </is>
      </c>
      <c r="E500" s="0" t="inlineStr">
        <is>
          <t>上班</t>
        </is>
      </c>
      <c r="F500" s="0" t="inlineStr">
        <is>
          <t>香港晚班</t>
        </is>
      </c>
      <c r="G500" s="0" t="inlineStr">
        <is>
          <t>16:00</t>
        </is>
      </c>
      <c r="H500" s="0" t="inlineStr">
        <is>
          <t>22:00</t>
        </is>
      </c>
      <c r="I500" s="0" t="n">
        <v>6</v>
      </c>
      <c r="J500" s="0" t="inlineStr">
        <is>
          <t>16:00</t>
        </is>
      </c>
      <c r="K500" s="0" t="inlineStr">
        <is>
          <t>22:00</t>
        </is>
      </c>
      <c r="L500" s="0" t="inlineStr">
        <is>
          <t>否</t>
        </is>
      </c>
    </row>
    <row r="501">
      <c r="A501" s="0" t="inlineStr">
        <is>
          <t>香港專櫃課</t>
        </is>
      </c>
      <c r="B501" s="0" t="inlineStr">
        <is>
          <t>P0030</t>
        </is>
      </c>
      <c r="C501" s="0" t="inlineStr">
        <is>
          <t>周夏愉</t>
        </is>
      </c>
      <c r="D501" s="0" t="inlineStr">
        <is>
          <t>2026/03/23</t>
        </is>
      </c>
      <c r="E501" s="0" t="inlineStr">
        <is>
          <t>月休</t>
        </is>
      </c>
      <c r="I501" s="0" t="n">
        <v>0</v>
      </c>
    </row>
    <row r="502">
      <c r="A502" s="0" t="inlineStr">
        <is>
          <t>香港專櫃課</t>
        </is>
      </c>
      <c r="B502" s="0" t="inlineStr">
        <is>
          <t>P0030</t>
        </is>
      </c>
      <c r="C502" s="0" t="inlineStr">
        <is>
          <t>周夏愉</t>
        </is>
      </c>
      <c r="D502" s="0" t="inlineStr">
        <is>
          <t>2026/03/24</t>
        </is>
      </c>
      <c r="E502" s="0" t="inlineStr">
        <is>
          <t>月休</t>
        </is>
      </c>
      <c r="I502" s="0" t="n">
        <v>0</v>
      </c>
    </row>
    <row r="503">
      <c r="A503" s="0" t="inlineStr">
        <is>
          <t>香港專櫃課</t>
        </is>
      </c>
      <c r="B503" s="0" t="inlineStr">
        <is>
          <t>P0030</t>
        </is>
      </c>
      <c r="C503" s="0" t="inlineStr">
        <is>
          <t>周夏愉</t>
        </is>
      </c>
      <c r="D503" s="0" t="inlineStr">
        <is>
          <t>2026/03/25</t>
        </is>
      </c>
      <c r="E503" s="0" t="inlineStr">
        <is>
          <t>上班</t>
        </is>
      </c>
      <c r="F503" s="0" t="inlineStr">
        <is>
          <t>香港晚班</t>
        </is>
      </c>
      <c r="G503" s="0" t="inlineStr">
        <is>
          <t>16:00</t>
        </is>
      </c>
      <c r="H503" s="0" t="inlineStr">
        <is>
          <t>21:00</t>
        </is>
      </c>
      <c r="I503" s="0" t="n">
        <v>5</v>
      </c>
      <c r="J503" s="0" t="inlineStr">
        <is>
          <t>16:00</t>
        </is>
      </c>
      <c r="K503" s="0" t="inlineStr">
        <is>
          <t>21:00</t>
        </is>
      </c>
      <c r="L503" s="0" t="inlineStr">
        <is>
          <t>否</t>
        </is>
      </c>
    </row>
    <row r="504">
      <c r="A504" s="0" t="inlineStr">
        <is>
          <t>香港專櫃課</t>
        </is>
      </c>
      <c r="B504" s="0" t="inlineStr">
        <is>
          <t>P0030</t>
        </is>
      </c>
      <c r="C504" s="0" t="inlineStr">
        <is>
          <t>周夏愉</t>
        </is>
      </c>
      <c r="D504" s="0" t="inlineStr">
        <is>
          <t>2026/03/26</t>
        </is>
      </c>
      <c r="E504" s="0" t="inlineStr">
        <is>
          <t>月休</t>
        </is>
      </c>
      <c r="I504" s="0" t="n">
        <v>0</v>
      </c>
    </row>
    <row r="505">
      <c r="A505" s="0" t="inlineStr">
        <is>
          <t>香港專櫃課</t>
        </is>
      </c>
      <c r="B505" s="0" t="inlineStr">
        <is>
          <t>P0030</t>
        </is>
      </c>
      <c r="C505" s="0" t="inlineStr">
        <is>
          <t>周夏愉</t>
        </is>
      </c>
      <c r="D505" s="0" t="inlineStr">
        <is>
          <t>2026/03/27</t>
        </is>
      </c>
      <c r="E505" s="0" t="inlineStr">
        <is>
          <t>月休</t>
        </is>
      </c>
      <c r="I505" s="0" t="n">
        <v>0</v>
      </c>
    </row>
    <row r="506">
      <c r="A506" s="0" t="inlineStr">
        <is>
          <t>香港專櫃課</t>
        </is>
      </c>
      <c r="B506" s="0" t="inlineStr">
        <is>
          <t>P0030</t>
        </is>
      </c>
      <c r="C506" s="0" t="inlineStr">
        <is>
          <t>周夏愉</t>
        </is>
      </c>
      <c r="D506" s="0" t="inlineStr">
        <is>
          <t>2026/03/28</t>
        </is>
      </c>
      <c r="E506" s="0" t="inlineStr">
        <is>
          <t>上班</t>
        </is>
      </c>
      <c r="F506" s="0" t="inlineStr">
        <is>
          <t>香港晚班</t>
        </is>
      </c>
      <c r="G506" s="0" t="inlineStr">
        <is>
          <t>16:00</t>
        </is>
      </c>
      <c r="H506" s="0" t="inlineStr">
        <is>
          <t>21:00</t>
        </is>
      </c>
      <c r="I506" s="0" t="n">
        <v>5</v>
      </c>
      <c r="J506" s="0" t="inlineStr">
        <is>
          <t>16:00</t>
        </is>
      </c>
      <c r="K506" s="0" t="inlineStr">
        <is>
          <t>21:00</t>
        </is>
      </c>
      <c r="L506" s="0" t="inlineStr">
        <is>
          <t>否</t>
        </is>
      </c>
    </row>
    <row r="507">
      <c r="A507" s="0" t="inlineStr">
        <is>
          <t>香港專櫃課</t>
        </is>
      </c>
      <c r="B507" s="0" t="inlineStr">
        <is>
          <t>P0030</t>
        </is>
      </c>
      <c r="C507" s="0" t="inlineStr">
        <is>
          <t>周夏愉</t>
        </is>
      </c>
      <c r="D507" s="0" t="inlineStr">
        <is>
          <t>2026/03/29</t>
        </is>
      </c>
      <c r="E507" s="0" t="inlineStr">
        <is>
          <t>上班</t>
        </is>
      </c>
      <c r="F507" s="0" t="inlineStr">
        <is>
          <t>香港晚班</t>
        </is>
      </c>
      <c r="G507" s="0" t="inlineStr">
        <is>
          <t>16:00</t>
        </is>
      </c>
      <c r="H507" s="0" t="inlineStr">
        <is>
          <t>21:00</t>
        </is>
      </c>
      <c r="I507" s="0" t="n">
        <v>5</v>
      </c>
      <c r="J507" s="0" t="inlineStr">
        <is>
          <t>16:00</t>
        </is>
      </c>
      <c r="K507" s="0" t="inlineStr">
        <is>
          <t>21:00</t>
        </is>
      </c>
      <c r="L507" s="0" t="inlineStr">
        <is>
          <t>否</t>
        </is>
      </c>
    </row>
    <row r="508">
      <c r="A508" s="0" t="inlineStr">
        <is>
          <t>香港專櫃課</t>
        </is>
      </c>
      <c r="B508" s="0" t="inlineStr">
        <is>
          <t>P0030</t>
        </is>
      </c>
      <c r="C508" s="0" t="inlineStr">
        <is>
          <t>周夏愉</t>
        </is>
      </c>
      <c r="D508" s="0" t="inlineStr">
        <is>
          <t>2026/03/30</t>
        </is>
      </c>
      <c r="E508" s="0" t="inlineStr">
        <is>
          <t>月休</t>
        </is>
      </c>
      <c r="I508" s="0" t="n">
        <v>0</v>
      </c>
    </row>
    <row r="509">
      <c r="A509" s="0" t="inlineStr">
        <is>
          <t>香港專櫃課</t>
        </is>
      </c>
      <c r="B509" s="0" t="inlineStr">
        <is>
          <t>P0030</t>
        </is>
      </c>
      <c r="C509" s="0" t="inlineStr">
        <is>
          <t>周夏愉</t>
        </is>
      </c>
      <c r="D509" s="0" t="inlineStr">
        <is>
          <t>2026/03/31</t>
        </is>
      </c>
      <c r="E509" s="0" t="inlineStr">
        <is>
          <t>月休</t>
        </is>
      </c>
      <c r="I509" s="0" t="n">
        <v>0</v>
      </c>
    </row>
    <row r="510">
      <c r="A510" s="0" t="inlineStr">
        <is>
          <t>香港專櫃課</t>
        </is>
      </c>
      <c r="B510" s="0" t="inlineStr">
        <is>
          <t>P0030</t>
        </is>
      </c>
      <c r="C510" s="0" t="inlineStr">
        <is>
          <t>周夏愉</t>
        </is>
      </c>
      <c r="D510" s="0" t="inlineStr">
        <is>
          <t>2026/04/01</t>
        </is>
      </c>
      <c r="E510" s="0" t="inlineStr">
        <is>
          <t>上班</t>
        </is>
      </c>
      <c r="F510" s="0" t="inlineStr">
        <is>
          <t>香港早班</t>
        </is>
      </c>
      <c r="G510" s="0" t="inlineStr">
        <is>
          <t>10:30</t>
        </is>
      </c>
      <c r="H510" s="0" t="inlineStr">
        <is>
          <t>16:30</t>
        </is>
      </c>
      <c r="I510" s="0" t="n">
        <v>6</v>
      </c>
      <c r="J510" s="0" t="inlineStr">
        <is>
          <t>10:30</t>
        </is>
      </c>
      <c r="K510" s="0" t="inlineStr">
        <is>
          <t>16:30</t>
        </is>
      </c>
      <c r="L510" s="0" t="inlineStr">
        <is>
          <t>否</t>
        </is>
      </c>
    </row>
    <row r="511">
      <c r="A511" s="0" t="inlineStr">
        <is>
          <t>香港專櫃課</t>
        </is>
      </c>
      <c r="B511" s="0" t="inlineStr">
        <is>
          <t>P0030</t>
        </is>
      </c>
      <c r="C511" s="0" t="inlineStr">
        <is>
          <t>周夏愉</t>
        </is>
      </c>
      <c r="D511" s="0" t="inlineStr">
        <is>
          <t>2026/04/02</t>
        </is>
      </c>
      <c r="E511" s="0" t="inlineStr">
        <is>
          <t>月休</t>
        </is>
      </c>
      <c r="I511" s="0" t="n">
        <v>0</v>
      </c>
    </row>
    <row r="512">
      <c r="A512" s="0" t="inlineStr">
        <is>
          <t>香港專櫃課</t>
        </is>
      </c>
      <c r="B512" s="0" t="inlineStr">
        <is>
          <t>P0030</t>
        </is>
      </c>
      <c r="C512" s="0" t="inlineStr">
        <is>
          <t>周夏愉</t>
        </is>
      </c>
      <c r="D512" s="0" t="inlineStr">
        <is>
          <t>2026/04/03</t>
        </is>
      </c>
      <c r="E512" s="0" t="inlineStr">
        <is>
          <t>國定假日</t>
        </is>
      </c>
      <c r="I512" s="0" t="n">
        <v>0</v>
      </c>
    </row>
    <row r="513">
      <c r="A513" s="0" t="inlineStr">
        <is>
          <t>香港專櫃課</t>
        </is>
      </c>
      <c r="B513" s="0" t="inlineStr">
        <is>
          <t>P0030</t>
        </is>
      </c>
      <c r="C513" s="0" t="inlineStr">
        <is>
          <t>周夏愉</t>
        </is>
      </c>
      <c r="D513" s="0" t="inlineStr">
        <is>
          <t>2026/04/04</t>
        </is>
      </c>
      <c r="E513" s="0" t="inlineStr">
        <is>
          <t>國定假日</t>
        </is>
      </c>
      <c r="I513" s="0" t="n">
        <v>0</v>
      </c>
    </row>
    <row r="514">
      <c r="A514" s="0" t="inlineStr">
        <is>
          <t>香港專櫃課</t>
        </is>
      </c>
      <c r="B514" s="0" t="inlineStr">
        <is>
          <t>P0030</t>
        </is>
      </c>
      <c r="C514" s="0" t="inlineStr">
        <is>
          <t>周夏愉</t>
        </is>
      </c>
      <c r="D514" s="0" t="inlineStr">
        <is>
          <t>2026/04/05</t>
        </is>
      </c>
      <c r="E514" s="0" t="inlineStr">
        <is>
          <t>上班</t>
        </is>
      </c>
      <c r="F514" s="0" t="inlineStr">
        <is>
          <t>特殊晚班</t>
        </is>
      </c>
      <c r="G514" s="0" t="inlineStr">
        <is>
          <t>14:30</t>
        </is>
      </c>
      <c r="H514" s="0" t="inlineStr">
        <is>
          <t>19:30</t>
        </is>
      </c>
      <c r="I514" s="0" t="n">
        <v>5</v>
      </c>
      <c r="J514" s="0" t="inlineStr">
        <is>
          <t>14:30</t>
        </is>
      </c>
      <c r="K514" s="0" t="inlineStr">
        <is>
          <t>19:30</t>
        </is>
      </c>
      <c r="L514" s="0" t="inlineStr">
        <is>
          <t>否</t>
        </is>
      </c>
    </row>
    <row r="515">
      <c r="A515" s="0" t="inlineStr">
        <is>
          <t>香港專櫃課</t>
        </is>
      </c>
      <c r="B515" s="0" t="inlineStr">
        <is>
          <t>P0030</t>
        </is>
      </c>
      <c r="C515" s="0" t="inlineStr">
        <is>
          <t>周夏愉</t>
        </is>
      </c>
      <c r="D515" s="0" t="inlineStr">
        <is>
          <t>2026/04/06</t>
        </is>
      </c>
      <c r="E515" s="0" t="inlineStr">
        <is>
          <t>國定假日</t>
        </is>
      </c>
      <c r="I515" s="0" t="n">
        <v>0</v>
      </c>
    </row>
    <row r="516">
      <c r="A516" s="0" t="inlineStr">
        <is>
          <t>香港專櫃課</t>
        </is>
      </c>
      <c r="B516" s="0" t="inlineStr">
        <is>
          <t>P0030</t>
        </is>
      </c>
      <c r="C516" s="0" t="inlineStr">
        <is>
          <t>周夏愉</t>
        </is>
      </c>
      <c r="D516" s="0" t="inlineStr">
        <is>
          <t>2026/04/07</t>
        </is>
      </c>
      <c r="E516" s="0" t="inlineStr">
        <is>
          <t>國定假日</t>
        </is>
      </c>
      <c r="I516" s="0" t="n">
        <v>0</v>
      </c>
    </row>
    <row r="517">
      <c r="A517" s="0" t="inlineStr">
        <is>
          <t>香港專櫃課</t>
        </is>
      </c>
      <c r="B517" s="0" t="inlineStr">
        <is>
          <t>P0030</t>
        </is>
      </c>
      <c r="C517" s="0" t="inlineStr">
        <is>
          <t>周夏愉</t>
        </is>
      </c>
      <c r="D517" s="0" t="inlineStr">
        <is>
          <t>2026/04/08</t>
        </is>
      </c>
      <c r="E517" s="0" t="inlineStr">
        <is>
          <t>上班</t>
        </is>
      </c>
      <c r="F517" s="0" t="inlineStr">
        <is>
          <t>香港早班</t>
        </is>
      </c>
      <c r="G517" s="0" t="inlineStr">
        <is>
          <t>10:30</t>
        </is>
      </c>
      <c r="H517" s="0" t="inlineStr">
        <is>
          <t>16:30</t>
        </is>
      </c>
      <c r="I517" s="0" t="n">
        <v>6</v>
      </c>
      <c r="J517" s="0" t="inlineStr">
        <is>
          <t>10:30</t>
        </is>
      </c>
      <c r="K517" s="0" t="inlineStr">
        <is>
          <t>16:30</t>
        </is>
      </c>
      <c r="L517" s="0" t="inlineStr">
        <is>
          <t>否</t>
        </is>
      </c>
    </row>
    <row r="518">
      <c r="A518" s="0" t="inlineStr">
        <is>
          <t>香港專櫃課</t>
        </is>
      </c>
      <c r="B518" s="0" t="inlineStr">
        <is>
          <t>P0030</t>
        </is>
      </c>
      <c r="C518" s="0" t="inlineStr">
        <is>
          <t>周夏愉</t>
        </is>
      </c>
      <c r="D518" s="0" t="inlineStr">
        <is>
          <t>2026/04/09</t>
        </is>
      </c>
      <c r="E518" s="0" t="inlineStr">
        <is>
          <t>月休</t>
        </is>
      </c>
      <c r="I518" s="0" t="n">
        <v>0</v>
      </c>
    </row>
    <row r="519">
      <c r="A519" s="0" t="inlineStr">
        <is>
          <t>香港專櫃課</t>
        </is>
      </c>
      <c r="B519" s="0" t="inlineStr">
        <is>
          <t>P0030</t>
        </is>
      </c>
      <c r="C519" s="0" t="inlineStr">
        <is>
          <t>周夏愉</t>
        </is>
      </c>
      <c r="D519" s="0" t="inlineStr">
        <is>
          <t>2026/04/10</t>
        </is>
      </c>
      <c r="E519" s="0" t="inlineStr">
        <is>
          <t>上班</t>
        </is>
      </c>
      <c r="F519" s="0" t="inlineStr">
        <is>
          <t>香港晚班</t>
        </is>
      </c>
      <c r="G519" s="0" t="inlineStr">
        <is>
          <t>17:30</t>
        </is>
      </c>
      <c r="H519" s="0" t="inlineStr">
        <is>
          <t>21:00</t>
        </is>
      </c>
      <c r="I519" s="0" t="n">
        <v>3.5</v>
      </c>
      <c r="J519" s="0" t="inlineStr">
        <is>
          <t>17:30</t>
        </is>
      </c>
      <c r="K519" s="0" t="inlineStr">
        <is>
          <t>21:00</t>
        </is>
      </c>
      <c r="L519" s="0" t="inlineStr">
        <is>
          <t>否</t>
        </is>
      </c>
    </row>
    <row r="520">
      <c r="A520" s="0" t="inlineStr">
        <is>
          <t>香港專櫃課</t>
        </is>
      </c>
      <c r="B520" s="0" t="inlineStr">
        <is>
          <t>P0030</t>
        </is>
      </c>
      <c r="C520" s="0" t="inlineStr">
        <is>
          <t>周夏愉</t>
        </is>
      </c>
      <c r="D520" s="0" t="inlineStr">
        <is>
          <t>2026/04/11</t>
        </is>
      </c>
      <c r="E520" s="0" t="inlineStr">
        <is>
          <t>上班</t>
        </is>
      </c>
      <c r="F520" s="0" t="inlineStr">
        <is>
          <t>香港晚班</t>
        </is>
      </c>
      <c r="G520" s="0" t="inlineStr">
        <is>
          <t>16:00</t>
        </is>
      </c>
      <c r="H520" s="0" t="inlineStr">
        <is>
          <t>21:00</t>
        </is>
      </c>
      <c r="I520" s="0" t="n">
        <v>5</v>
      </c>
      <c r="J520" s="0" t="inlineStr">
        <is>
          <t>16:00</t>
        </is>
      </c>
      <c r="K520" s="0" t="inlineStr">
        <is>
          <t>21:00</t>
        </is>
      </c>
      <c r="L520" s="0" t="inlineStr">
        <is>
          <t>否</t>
        </is>
      </c>
    </row>
    <row r="521">
      <c r="A521" s="0" t="inlineStr">
        <is>
          <t>香港專櫃課</t>
        </is>
      </c>
      <c r="B521" s="0" t="inlineStr">
        <is>
          <t>P0030</t>
        </is>
      </c>
      <c r="C521" s="0" t="inlineStr">
        <is>
          <t>周夏愉</t>
        </is>
      </c>
      <c r="D521" s="0" t="inlineStr">
        <is>
          <t>2026/04/12</t>
        </is>
      </c>
      <c r="E521" s="0" t="inlineStr">
        <is>
          <t>上班</t>
        </is>
      </c>
      <c r="F521" s="0" t="inlineStr">
        <is>
          <t>香港晚班</t>
        </is>
      </c>
      <c r="G521" s="0" t="inlineStr">
        <is>
          <t>16:00</t>
        </is>
      </c>
      <c r="H521" s="0" t="inlineStr">
        <is>
          <t>21:00</t>
        </is>
      </c>
      <c r="I521" s="0" t="n">
        <v>5</v>
      </c>
      <c r="J521" s="0" t="inlineStr">
        <is>
          <t>16:00</t>
        </is>
      </c>
      <c r="K521" s="0" t="inlineStr">
        <is>
          <t>21:00</t>
        </is>
      </c>
      <c r="L521" s="0" t="inlineStr">
        <is>
          <t>否</t>
        </is>
      </c>
    </row>
    <row r="522">
      <c r="A522" s="0" t="inlineStr">
        <is>
          <t>香港專櫃課</t>
        </is>
      </c>
      <c r="B522" s="0" t="inlineStr">
        <is>
          <t>P0030</t>
        </is>
      </c>
      <c r="C522" s="0" t="inlineStr">
        <is>
          <t>周夏愉</t>
        </is>
      </c>
      <c r="D522" s="0" t="inlineStr">
        <is>
          <t>2026/04/13</t>
        </is>
      </c>
      <c r="E522" s="0" t="inlineStr">
        <is>
          <t>月休</t>
        </is>
      </c>
      <c r="I522" s="0" t="n">
        <v>0</v>
      </c>
    </row>
    <row r="523">
      <c r="A523" s="0" t="inlineStr">
        <is>
          <t>香港專櫃課</t>
        </is>
      </c>
      <c r="B523" s="0" t="inlineStr">
        <is>
          <t>P0030</t>
        </is>
      </c>
      <c r="C523" s="0" t="inlineStr">
        <is>
          <t>周夏愉</t>
        </is>
      </c>
      <c r="D523" s="0" t="inlineStr">
        <is>
          <t>2026/04/14</t>
        </is>
      </c>
      <c r="E523" s="0" t="inlineStr">
        <is>
          <t>月休</t>
        </is>
      </c>
      <c r="I523" s="0" t="n">
        <v>0</v>
      </c>
    </row>
    <row r="524">
      <c r="A524" s="0" t="inlineStr">
        <is>
          <t>香港專櫃課</t>
        </is>
      </c>
      <c r="B524" s="0" t="inlineStr">
        <is>
          <t>P0030</t>
        </is>
      </c>
      <c r="C524" s="0" t="inlineStr">
        <is>
          <t>周夏愉</t>
        </is>
      </c>
      <c r="D524" s="0" t="inlineStr">
        <is>
          <t>2026/04/15</t>
        </is>
      </c>
      <c r="E524" s="0" t="inlineStr">
        <is>
          <t>上班</t>
        </is>
      </c>
      <c r="F524" s="0" t="inlineStr">
        <is>
          <t>香港早班</t>
        </is>
      </c>
      <c r="G524" s="0" t="inlineStr">
        <is>
          <t>10:30</t>
        </is>
      </c>
      <c r="H524" s="0" t="inlineStr">
        <is>
          <t>16:30</t>
        </is>
      </c>
      <c r="I524" s="0" t="n">
        <v>6</v>
      </c>
      <c r="J524" s="0" t="inlineStr">
        <is>
          <t>10:30</t>
        </is>
      </c>
      <c r="K524" s="0" t="inlineStr">
        <is>
          <t>16:30</t>
        </is>
      </c>
      <c r="L524" s="0" t="inlineStr">
        <is>
          <t>否</t>
        </is>
      </c>
    </row>
    <row r="525">
      <c r="A525" s="0" t="inlineStr">
        <is>
          <t>香港專櫃課</t>
        </is>
      </c>
      <c r="B525" s="0" t="inlineStr">
        <is>
          <t>P0030</t>
        </is>
      </c>
      <c r="C525" s="0" t="inlineStr">
        <is>
          <t>周夏愉</t>
        </is>
      </c>
      <c r="D525" s="0" t="inlineStr">
        <is>
          <t>2026/04/16</t>
        </is>
      </c>
      <c r="E525" s="0" t="inlineStr">
        <is>
          <t>月休</t>
        </is>
      </c>
      <c r="I525" s="0" t="n">
        <v>0</v>
      </c>
    </row>
    <row r="526">
      <c r="A526" s="0" t="inlineStr">
        <is>
          <t>香港專櫃課</t>
        </is>
      </c>
      <c r="B526" s="0" t="inlineStr">
        <is>
          <t>P0030</t>
        </is>
      </c>
      <c r="C526" s="0" t="inlineStr">
        <is>
          <t>周夏愉</t>
        </is>
      </c>
      <c r="D526" s="0" t="inlineStr">
        <is>
          <t>2026/04/17</t>
        </is>
      </c>
      <c r="E526" s="0" t="inlineStr">
        <is>
          <t>月休</t>
        </is>
      </c>
      <c r="I526" s="0" t="n">
        <v>0</v>
      </c>
    </row>
    <row r="527">
      <c r="A527" s="0" t="inlineStr">
        <is>
          <t>香港專櫃課</t>
        </is>
      </c>
      <c r="B527" s="0" t="inlineStr">
        <is>
          <t>P0030</t>
        </is>
      </c>
      <c r="C527" s="0" t="inlineStr">
        <is>
          <t>周夏愉</t>
        </is>
      </c>
      <c r="D527" s="0" t="inlineStr">
        <is>
          <t>2026/04/18</t>
        </is>
      </c>
      <c r="E527" s="0" t="inlineStr">
        <is>
          <t>上班</t>
        </is>
      </c>
      <c r="F527" s="0" t="inlineStr">
        <is>
          <t>香港早班</t>
        </is>
      </c>
      <c r="G527" s="0" t="inlineStr">
        <is>
          <t>10:30</t>
        </is>
      </c>
      <c r="H527" s="0" t="inlineStr">
        <is>
          <t>16:30</t>
        </is>
      </c>
      <c r="I527" s="0" t="n">
        <v>6</v>
      </c>
      <c r="J527" s="0" t="inlineStr">
        <is>
          <t>10:30</t>
        </is>
      </c>
      <c r="K527" s="0" t="inlineStr">
        <is>
          <t>16:30</t>
        </is>
      </c>
      <c r="L527" s="0" t="inlineStr">
        <is>
          <t>否</t>
        </is>
      </c>
    </row>
    <row r="528">
      <c r="A528" s="0" t="inlineStr">
        <is>
          <t>香港專櫃課</t>
        </is>
      </c>
      <c r="B528" s="0" t="inlineStr">
        <is>
          <t>P0030</t>
        </is>
      </c>
      <c r="C528" s="0" t="inlineStr">
        <is>
          <t>周夏愉</t>
        </is>
      </c>
      <c r="D528" s="0" t="inlineStr">
        <is>
          <t>2026/04/19</t>
        </is>
      </c>
      <c r="E528" s="0" t="inlineStr">
        <is>
          <t>上班</t>
        </is>
      </c>
      <c r="F528" s="0" t="inlineStr">
        <is>
          <t>香港晚班</t>
        </is>
      </c>
      <c r="G528" s="0" t="inlineStr">
        <is>
          <t>16:00</t>
        </is>
      </c>
      <c r="H528" s="0" t="inlineStr">
        <is>
          <t>21:00</t>
        </is>
      </c>
      <c r="I528" s="0" t="n">
        <v>5</v>
      </c>
      <c r="J528" s="0" t="inlineStr">
        <is>
          <t>16:00</t>
        </is>
      </c>
      <c r="K528" s="0" t="inlineStr">
        <is>
          <t>21:00</t>
        </is>
      </c>
      <c r="L528" s="0" t="inlineStr">
        <is>
          <t>否</t>
        </is>
      </c>
    </row>
    <row r="529">
      <c r="A529" s="0" t="inlineStr">
        <is>
          <t>香港專櫃課</t>
        </is>
      </c>
      <c r="B529" s="0" t="inlineStr">
        <is>
          <t>P0030</t>
        </is>
      </c>
      <c r="C529" s="0" t="inlineStr">
        <is>
          <t>周夏愉</t>
        </is>
      </c>
      <c r="D529" s="0" t="inlineStr">
        <is>
          <t>2026/04/20</t>
        </is>
      </c>
      <c r="E529" s="0" t="inlineStr">
        <is>
          <t>月休</t>
        </is>
      </c>
      <c r="I529" s="0" t="n">
        <v>0</v>
      </c>
    </row>
    <row r="530">
      <c r="A530" s="0" t="inlineStr">
        <is>
          <t>香港專櫃課</t>
        </is>
      </c>
      <c r="B530" s="0" t="inlineStr">
        <is>
          <t>P0030</t>
        </is>
      </c>
      <c r="C530" s="0" t="inlineStr">
        <is>
          <t>周夏愉</t>
        </is>
      </c>
      <c r="D530" s="0" t="inlineStr">
        <is>
          <t>2026/04/21</t>
        </is>
      </c>
      <c r="E530" s="0" t="inlineStr">
        <is>
          <t>月休</t>
        </is>
      </c>
      <c r="I530" s="0" t="n">
        <v>0</v>
      </c>
    </row>
    <row r="531">
      <c r="A531" s="0" t="inlineStr">
        <is>
          <t>香港專櫃課</t>
        </is>
      </c>
      <c r="B531" s="0" t="inlineStr">
        <is>
          <t>P0030</t>
        </is>
      </c>
      <c r="C531" s="0" t="inlineStr">
        <is>
          <t>周夏愉</t>
        </is>
      </c>
      <c r="D531" s="0" t="inlineStr">
        <is>
          <t>2026/04/22</t>
        </is>
      </c>
      <c r="E531" s="0" t="inlineStr">
        <is>
          <t>上班</t>
        </is>
      </c>
      <c r="F531" s="0" t="inlineStr">
        <is>
          <t>香港早班</t>
        </is>
      </c>
      <c r="G531" s="0" t="inlineStr">
        <is>
          <t>10:30</t>
        </is>
      </c>
      <c r="H531" s="0" t="inlineStr">
        <is>
          <t>16:30</t>
        </is>
      </c>
      <c r="I531" s="0" t="n">
        <v>6</v>
      </c>
      <c r="J531" s="0" t="inlineStr">
        <is>
          <t>10:30</t>
        </is>
      </c>
      <c r="K531" s="0" t="inlineStr">
        <is>
          <t>16:30</t>
        </is>
      </c>
      <c r="L531" s="0" t="inlineStr">
        <is>
          <t>否</t>
        </is>
      </c>
    </row>
    <row r="532">
      <c r="A532" s="0" t="inlineStr">
        <is>
          <t>香港專櫃課</t>
        </is>
      </c>
      <c r="B532" s="0" t="inlineStr">
        <is>
          <t>P0030</t>
        </is>
      </c>
      <c r="C532" s="0" t="inlineStr">
        <is>
          <t>周夏愉</t>
        </is>
      </c>
      <c r="D532" s="0" t="inlineStr">
        <is>
          <t>2026/04/23</t>
        </is>
      </c>
      <c r="E532" s="0" t="inlineStr">
        <is>
          <t>月休</t>
        </is>
      </c>
      <c r="I532" s="0" t="n">
        <v>0</v>
      </c>
    </row>
    <row r="533">
      <c r="A533" s="0" t="inlineStr">
        <is>
          <t>香港專櫃課</t>
        </is>
      </c>
      <c r="B533" s="0" t="inlineStr">
        <is>
          <t>P0030</t>
        </is>
      </c>
      <c r="C533" s="0" t="inlineStr">
        <is>
          <t>周夏愉</t>
        </is>
      </c>
      <c r="D533" s="0" t="inlineStr">
        <is>
          <t>2026/04/24</t>
        </is>
      </c>
      <c r="E533" s="0" t="inlineStr">
        <is>
          <t>上班</t>
        </is>
      </c>
      <c r="F533" s="0" t="inlineStr">
        <is>
          <t>香港晚班</t>
        </is>
      </c>
      <c r="G533" s="0" t="inlineStr">
        <is>
          <t>16:00</t>
        </is>
      </c>
      <c r="H533" s="0" t="inlineStr">
        <is>
          <t>21:00</t>
        </is>
      </c>
      <c r="I533" s="0" t="n">
        <v>5</v>
      </c>
      <c r="J533" s="0" t="inlineStr">
        <is>
          <t>16:00</t>
        </is>
      </c>
      <c r="K533" s="0" t="inlineStr">
        <is>
          <t>21:00</t>
        </is>
      </c>
      <c r="L533" s="0" t="inlineStr">
        <is>
          <t>否</t>
        </is>
      </c>
    </row>
    <row r="534">
      <c r="A534" s="0" t="inlineStr">
        <is>
          <t>香港專櫃課</t>
        </is>
      </c>
      <c r="B534" s="0" t="inlineStr">
        <is>
          <t>P0030</t>
        </is>
      </c>
      <c r="C534" s="0" t="inlineStr">
        <is>
          <t>周夏愉</t>
        </is>
      </c>
      <c r="D534" s="0" t="inlineStr">
        <is>
          <t>2026/04/25</t>
        </is>
      </c>
      <c r="E534" s="0" t="inlineStr">
        <is>
          <t>上班</t>
        </is>
      </c>
      <c r="F534" s="0" t="inlineStr">
        <is>
          <t>香港晚班</t>
        </is>
      </c>
      <c r="G534" s="0" t="inlineStr">
        <is>
          <t>16:00</t>
        </is>
      </c>
      <c r="H534" s="0" t="inlineStr">
        <is>
          <t>21:00</t>
        </is>
      </c>
      <c r="I534" s="0" t="n">
        <v>5</v>
      </c>
      <c r="J534" s="0" t="inlineStr">
        <is>
          <t>16:00</t>
        </is>
      </c>
      <c r="K534" s="0" t="inlineStr">
        <is>
          <t>21:00</t>
        </is>
      </c>
      <c r="L534" s="0" t="inlineStr">
        <is>
          <t>否</t>
        </is>
      </c>
    </row>
    <row r="535">
      <c r="A535" s="0" t="inlineStr">
        <is>
          <t>香港專櫃課</t>
        </is>
      </c>
      <c r="B535" s="0" t="inlineStr">
        <is>
          <t>P0030</t>
        </is>
      </c>
      <c r="C535" s="0" t="inlineStr">
        <is>
          <t>周夏愉</t>
        </is>
      </c>
      <c r="D535" s="0" t="inlineStr">
        <is>
          <t>2026/04/26</t>
        </is>
      </c>
      <c r="E535" s="0" t="inlineStr">
        <is>
          <t>上班</t>
        </is>
      </c>
      <c r="F535" s="0" t="inlineStr">
        <is>
          <t>香港早班</t>
        </is>
      </c>
      <c r="G535" s="0" t="inlineStr">
        <is>
          <t>10:30</t>
        </is>
      </c>
      <c r="H535" s="0" t="inlineStr">
        <is>
          <t>16:30</t>
        </is>
      </c>
      <c r="I535" s="0" t="n">
        <v>6</v>
      </c>
      <c r="J535" s="0" t="inlineStr">
        <is>
          <t>10:30</t>
        </is>
      </c>
      <c r="K535" s="0" t="inlineStr">
        <is>
          <t>16:30</t>
        </is>
      </c>
      <c r="L535" s="0" t="inlineStr">
        <is>
          <t>否</t>
        </is>
      </c>
    </row>
    <row r="536">
      <c r="A536" s="0" t="inlineStr">
        <is>
          <t>香港專櫃課</t>
        </is>
      </c>
      <c r="B536" s="0" t="inlineStr">
        <is>
          <t>P0030</t>
        </is>
      </c>
      <c r="C536" s="0" t="inlineStr">
        <is>
          <t>周夏愉</t>
        </is>
      </c>
      <c r="D536" s="0" t="inlineStr">
        <is>
          <t>2026/04/27</t>
        </is>
      </c>
      <c r="E536" s="0" t="inlineStr">
        <is>
          <t>月休</t>
        </is>
      </c>
      <c r="I536" s="0" t="n">
        <v>0</v>
      </c>
    </row>
    <row r="537">
      <c r="A537" s="0" t="inlineStr">
        <is>
          <t>香港專櫃課</t>
        </is>
      </c>
      <c r="B537" s="0" t="inlineStr">
        <is>
          <t>P0030</t>
        </is>
      </c>
      <c r="C537" s="0" t="inlineStr">
        <is>
          <t>周夏愉</t>
        </is>
      </c>
      <c r="D537" s="0" t="inlineStr">
        <is>
          <t>2026/04/28</t>
        </is>
      </c>
      <c r="E537" s="0" t="inlineStr">
        <is>
          <t>月休</t>
        </is>
      </c>
      <c r="I537" s="0" t="n">
        <v>0</v>
      </c>
    </row>
    <row r="538">
      <c r="A538" s="0" t="inlineStr">
        <is>
          <t>香港專櫃課</t>
        </is>
      </c>
      <c r="B538" s="0" t="inlineStr">
        <is>
          <t>P0030</t>
        </is>
      </c>
      <c r="C538" s="0" t="inlineStr">
        <is>
          <t>周夏愉</t>
        </is>
      </c>
      <c r="D538" s="0" t="inlineStr">
        <is>
          <t>2026/04/29</t>
        </is>
      </c>
      <c r="E538" s="0" t="inlineStr">
        <is>
          <t>月休</t>
        </is>
      </c>
      <c r="I538" s="0" t="n">
        <v>0</v>
      </c>
    </row>
    <row r="539">
      <c r="A539" s="0" t="inlineStr">
        <is>
          <t>香港專櫃課</t>
        </is>
      </c>
      <c r="B539" s="0" t="inlineStr">
        <is>
          <t>P0030</t>
        </is>
      </c>
      <c r="C539" s="0" t="inlineStr">
        <is>
          <t>周夏愉</t>
        </is>
      </c>
      <c r="D539" s="0" t="inlineStr">
        <is>
          <t>2026/04/30</t>
        </is>
      </c>
      <c r="E539" s="0" t="inlineStr">
        <is>
          <t>月休</t>
        </is>
      </c>
      <c r="I539" s="0" t="n">
        <v>0</v>
      </c>
    </row>
    <row r="540">
      <c r="A540" s="0" t="inlineStr">
        <is>
          <t>香港專櫃課</t>
        </is>
      </c>
      <c r="B540" s="0" t="inlineStr">
        <is>
          <t>P0030</t>
        </is>
      </c>
      <c r="C540" s="0" t="inlineStr">
        <is>
          <t>周夏愉</t>
        </is>
      </c>
      <c r="D540" s="0" t="inlineStr">
        <is>
          <t>2026/05/01</t>
        </is>
      </c>
      <c r="E540" s="0" t="inlineStr">
        <is>
          <t>國定假日</t>
        </is>
      </c>
      <c r="I540" s="0" t="n">
        <v>0</v>
      </c>
    </row>
    <row r="541">
      <c r="A541" s="0" t="inlineStr">
        <is>
          <t>香港專櫃課</t>
        </is>
      </c>
      <c r="B541" s="0" t="inlineStr">
        <is>
          <t>P0030</t>
        </is>
      </c>
      <c r="C541" s="0" t="inlineStr">
        <is>
          <t>周夏愉</t>
        </is>
      </c>
      <c r="D541" s="0" t="inlineStr">
        <is>
          <t>2026/05/02</t>
        </is>
      </c>
      <c r="E541" s="0" t="inlineStr">
        <is>
          <t>上班</t>
        </is>
      </c>
      <c r="F541" s="0" t="inlineStr">
        <is>
          <t>香港早班</t>
        </is>
      </c>
      <c r="G541" s="0" t="inlineStr">
        <is>
          <t>10:30</t>
        </is>
      </c>
      <c r="H541" s="0" t="inlineStr">
        <is>
          <t>16:30</t>
        </is>
      </c>
      <c r="I541" s="0" t="n">
        <v>6</v>
      </c>
      <c r="J541" s="0" t="inlineStr">
        <is>
          <t>10:30</t>
        </is>
      </c>
      <c r="K541" s="0" t="inlineStr">
        <is>
          <t>16:30</t>
        </is>
      </c>
      <c r="L541" s="0" t="inlineStr">
        <is>
          <t>否</t>
        </is>
      </c>
    </row>
    <row r="542">
      <c r="A542" s="0" t="inlineStr">
        <is>
          <t>香港專櫃課</t>
        </is>
      </c>
      <c r="B542" s="0" t="inlineStr">
        <is>
          <t>P0030</t>
        </is>
      </c>
      <c r="C542" s="0" t="inlineStr">
        <is>
          <t>周夏愉</t>
        </is>
      </c>
      <c r="D542" s="0" t="inlineStr">
        <is>
          <t>2026/05/03</t>
        </is>
      </c>
      <c r="E542" s="0" t="inlineStr">
        <is>
          <t>上班</t>
        </is>
      </c>
      <c r="F542" s="0" t="inlineStr">
        <is>
          <t>香港早班</t>
        </is>
      </c>
      <c r="G542" s="0" t="inlineStr">
        <is>
          <t>10:30</t>
        </is>
      </c>
      <c r="H542" s="0" t="inlineStr">
        <is>
          <t>16:30</t>
        </is>
      </c>
      <c r="I542" s="0" t="n">
        <v>6</v>
      </c>
      <c r="J542" s="0" t="inlineStr">
        <is>
          <t>10:30</t>
        </is>
      </c>
      <c r="K542" s="0" t="inlineStr">
        <is>
          <t>16:30</t>
        </is>
      </c>
      <c r="L542" s="0" t="inlineStr">
        <is>
          <t>否</t>
        </is>
      </c>
    </row>
    <row r="543">
      <c r="A543" s="0" t="inlineStr">
        <is>
          <t>香港專櫃課</t>
        </is>
      </c>
      <c r="B543" s="0" t="inlineStr">
        <is>
          <t>P0030</t>
        </is>
      </c>
      <c r="C543" s="0" t="inlineStr">
        <is>
          <t>周夏愉</t>
        </is>
      </c>
      <c r="D543" s="0" t="inlineStr">
        <is>
          <t>2026/05/04</t>
        </is>
      </c>
      <c r="I543" s="0" t="n">
        <v>0</v>
      </c>
    </row>
    <row r="544">
      <c r="A544" s="0" t="inlineStr">
        <is>
          <t>香港專櫃課</t>
        </is>
      </c>
      <c r="B544" s="0" t="inlineStr">
        <is>
          <t>P0030</t>
        </is>
      </c>
      <c r="C544" s="0" t="inlineStr">
        <is>
          <t>周夏愉</t>
        </is>
      </c>
      <c r="D544" s="0" t="inlineStr">
        <is>
          <t>2026/05/05</t>
        </is>
      </c>
      <c r="E544" s="0" t="inlineStr">
        <is>
          <t>上班</t>
        </is>
      </c>
      <c r="F544" s="0" t="inlineStr">
        <is>
          <t>香港晚班</t>
        </is>
      </c>
      <c r="G544" s="0" t="inlineStr">
        <is>
          <t>16:00</t>
        </is>
      </c>
      <c r="H544" s="0" t="inlineStr">
        <is>
          <t>21:00</t>
        </is>
      </c>
      <c r="I544" s="0" t="n">
        <v>5</v>
      </c>
      <c r="J544" s="0" t="inlineStr">
        <is>
          <t>16:00</t>
        </is>
      </c>
      <c r="K544" s="0" t="inlineStr">
        <is>
          <t>21:00</t>
        </is>
      </c>
      <c r="L544" s="0" t="inlineStr">
        <is>
          <t>否</t>
        </is>
      </c>
    </row>
    <row r="545">
      <c r="A545" s="0" t="inlineStr">
        <is>
          <t>香港專櫃課</t>
        </is>
      </c>
      <c r="B545" s="0" t="inlineStr">
        <is>
          <t>P0030</t>
        </is>
      </c>
      <c r="C545" s="0" t="inlineStr">
        <is>
          <t>周夏愉</t>
        </is>
      </c>
      <c r="D545" s="0" t="inlineStr">
        <is>
          <t>2026/05/06</t>
        </is>
      </c>
      <c r="I545" s="0" t="n">
        <v>0</v>
      </c>
    </row>
    <row r="546">
      <c r="A546" s="0" t="inlineStr">
        <is>
          <t>香港專櫃課</t>
        </is>
      </c>
      <c r="B546" s="0" t="inlineStr">
        <is>
          <t>P0030</t>
        </is>
      </c>
      <c r="C546" s="0" t="inlineStr">
        <is>
          <t>周夏愉</t>
        </is>
      </c>
      <c r="D546" s="0" t="inlineStr">
        <is>
          <t>2026/05/07</t>
        </is>
      </c>
      <c r="I546" s="0" t="n">
        <v>0</v>
      </c>
    </row>
    <row r="547">
      <c r="A547" s="0" t="inlineStr">
        <is>
          <t>香港專櫃課</t>
        </is>
      </c>
      <c r="B547" s="0" t="inlineStr">
        <is>
          <t>P0030</t>
        </is>
      </c>
      <c r="C547" s="0" t="inlineStr">
        <is>
          <t>周夏愉</t>
        </is>
      </c>
      <c r="D547" s="0" t="inlineStr">
        <is>
          <t>2026/05/08</t>
        </is>
      </c>
      <c r="E547" s="0" t="inlineStr">
        <is>
          <t>月休</t>
        </is>
      </c>
      <c r="I547" s="0" t="n">
        <v>0</v>
      </c>
    </row>
    <row r="548">
      <c r="A548" s="0" t="inlineStr">
        <is>
          <t>香港專櫃課</t>
        </is>
      </c>
      <c r="B548" s="0" t="inlineStr">
        <is>
          <t>P0030</t>
        </is>
      </c>
      <c r="C548" s="0" t="inlineStr">
        <is>
          <t>周夏愉</t>
        </is>
      </c>
      <c r="D548" s="0" t="inlineStr">
        <is>
          <t>2026/05/09</t>
        </is>
      </c>
      <c r="E548" s="0" t="inlineStr">
        <is>
          <t>月休</t>
        </is>
      </c>
      <c r="I548" s="0" t="n">
        <v>0</v>
      </c>
    </row>
    <row r="549">
      <c r="A549" s="0" t="inlineStr">
        <is>
          <t>香港專櫃課</t>
        </is>
      </c>
      <c r="B549" s="0" t="inlineStr">
        <is>
          <t>P0030</t>
        </is>
      </c>
      <c r="C549" s="0" t="inlineStr">
        <is>
          <t>周夏愉</t>
        </is>
      </c>
      <c r="D549" s="0" t="inlineStr">
        <is>
          <t>2026/05/10</t>
        </is>
      </c>
      <c r="E549" s="0" t="inlineStr">
        <is>
          <t>上班</t>
        </is>
      </c>
      <c r="F549" s="0" t="inlineStr">
        <is>
          <t>香港晚班</t>
        </is>
      </c>
      <c r="G549" s="0" t="inlineStr">
        <is>
          <t>16:00</t>
        </is>
      </c>
      <c r="H549" s="0" t="inlineStr">
        <is>
          <t>21:00</t>
        </is>
      </c>
      <c r="I549" s="0" t="n">
        <v>5</v>
      </c>
      <c r="J549" s="0" t="inlineStr">
        <is>
          <t>16:00</t>
        </is>
      </c>
      <c r="K549" s="0" t="inlineStr">
        <is>
          <t>21:00</t>
        </is>
      </c>
      <c r="L549" s="0" t="inlineStr">
        <is>
          <t>否</t>
        </is>
      </c>
    </row>
    <row r="550">
      <c r="A550" s="0" t="inlineStr">
        <is>
          <t>香港專櫃課</t>
        </is>
      </c>
      <c r="B550" s="0" t="inlineStr">
        <is>
          <t>P0030</t>
        </is>
      </c>
      <c r="C550" s="0" t="inlineStr">
        <is>
          <t>周夏愉</t>
        </is>
      </c>
      <c r="D550" s="0" t="inlineStr">
        <is>
          <t>2026/05/11</t>
        </is>
      </c>
      <c r="I550" s="0" t="n">
        <v>0</v>
      </c>
    </row>
    <row r="551">
      <c r="A551" s="0" t="inlineStr">
        <is>
          <t>香港專櫃課</t>
        </is>
      </c>
      <c r="B551" s="0" t="inlineStr">
        <is>
          <t>P0030</t>
        </is>
      </c>
      <c r="C551" s="0" t="inlineStr">
        <is>
          <t>周夏愉</t>
        </is>
      </c>
      <c r="D551" s="0" t="inlineStr">
        <is>
          <t>2026/05/12</t>
        </is>
      </c>
      <c r="I551" s="0" t="n">
        <v>0</v>
      </c>
    </row>
    <row r="552">
      <c r="A552" s="0" t="inlineStr">
        <is>
          <t>香港專櫃課</t>
        </is>
      </c>
      <c r="B552" s="0" t="inlineStr">
        <is>
          <t>P0030</t>
        </is>
      </c>
      <c r="C552" s="0" t="inlineStr">
        <is>
          <t>周夏愉</t>
        </is>
      </c>
      <c r="D552" s="0" t="inlineStr">
        <is>
          <t>2026/05/13</t>
        </is>
      </c>
      <c r="E552" s="0" t="inlineStr">
        <is>
          <t>上班</t>
        </is>
      </c>
      <c r="F552" s="0" t="inlineStr">
        <is>
          <t>香港早班</t>
        </is>
      </c>
      <c r="G552" s="0" t="inlineStr">
        <is>
          <t>10:30</t>
        </is>
      </c>
      <c r="H552" s="0" t="inlineStr">
        <is>
          <t>16:30</t>
        </is>
      </c>
      <c r="I552" s="0" t="n">
        <v>6</v>
      </c>
      <c r="J552" s="0" t="inlineStr">
        <is>
          <t>10:30</t>
        </is>
      </c>
      <c r="K552" s="0" t="inlineStr">
        <is>
          <t>16:30</t>
        </is>
      </c>
      <c r="L552" s="0" t="inlineStr">
        <is>
          <t>否</t>
        </is>
      </c>
    </row>
    <row r="553">
      <c r="A553" s="0" t="inlineStr">
        <is>
          <t>香港專櫃課</t>
        </is>
      </c>
      <c r="B553" s="0" t="inlineStr">
        <is>
          <t>P0030</t>
        </is>
      </c>
      <c r="C553" s="0" t="inlineStr">
        <is>
          <t>周夏愉</t>
        </is>
      </c>
      <c r="D553" s="0" t="inlineStr">
        <is>
          <t>2026/05/14</t>
        </is>
      </c>
      <c r="E553" s="0" t="inlineStr">
        <is>
          <t>月休</t>
        </is>
      </c>
      <c r="I553" s="0" t="n">
        <v>0</v>
      </c>
    </row>
    <row r="554">
      <c r="A554" s="0" t="inlineStr">
        <is>
          <t>香港專櫃課</t>
        </is>
      </c>
      <c r="B554" s="0" t="inlineStr">
        <is>
          <t>P0030</t>
        </is>
      </c>
      <c r="C554" s="0" t="inlineStr">
        <is>
          <t>周夏愉</t>
        </is>
      </c>
      <c r="D554" s="0" t="inlineStr">
        <is>
          <t>2026/05/15</t>
        </is>
      </c>
      <c r="I554" s="0" t="n">
        <v>0</v>
      </c>
    </row>
    <row r="555">
      <c r="A555" s="0" t="inlineStr">
        <is>
          <t>香港專櫃課</t>
        </is>
      </c>
      <c r="B555" s="0" t="inlineStr">
        <is>
          <t>P0030</t>
        </is>
      </c>
      <c r="C555" s="0" t="inlineStr">
        <is>
          <t>周夏愉</t>
        </is>
      </c>
      <c r="D555" s="0" t="inlineStr">
        <is>
          <t>2026/05/16</t>
        </is>
      </c>
      <c r="E555" s="0" t="inlineStr">
        <is>
          <t>上班</t>
        </is>
      </c>
      <c r="F555" s="0" t="inlineStr">
        <is>
          <t>香港早班</t>
        </is>
      </c>
      <c r="G555" s="0" t="inlineStr">
        <is>
          <t>10:30</t>
        </is>
      </c>
      <c r="H555" s="0" t="inlineStr">
        <is>
          <t>16:30</t>
        </is>
      </c>
      <c r="I555" s="0" t="n">
        <v>6</v>
      </c>
      <c r="J555" s="0" t="inlineStr">
        <is>
          <t>10:30</t>
        </is>
      </c>
      <c r="K555" s="0" t="inlineStr">
        <is>
          <t>16:30</t>
        </is>
      </c>
      <c r="L555" s="0" t="inlineStr">
        <is>
          <t>否</t>
        </is>
      </c>
    </row>
    <row r="556">
      <c r="A556" s="0" t="inlineStr">
        <is>
          <t>香港專櫃課</t>
        </is>
      </c>
      <c r="B556" s="0" t="inlineStr">
        <is>
          <t>P0030</t>
        </is>
      </c>
      <c r="C556" s="0" t="inlineStr">
        <is>
          <t>周夏愉</t>
        </is>
      </c>
      <c r="D556" s="0" t="inlineStr">
        <is>
          <t>2026/05/17</t>
        </is>
      </c>
      <c r="E556" s="0" t="inlineStr">
        <is>
          <t>月休</t>
        </is>
      </c>
      <c r="I556" s="0" t="n">
        <v>0</v>
      </c>
    </row>
    <row r="557">
      <c r="A557" s="0" t="inlineStr">
        <is>
          <t>香港專櫃課</t>
        </is>
      </c>
      <c r="B557" s="0" t="inlineStr">
        <is>
          <t>P0030</t>
        </is>
      </c>
      <c r="C557" s="0" t="inlineStr">
        <is>
          <t>周夏愉</t>
        </is>
      </c>
      <c r="D557" s="0" t="inlineStr">
        <is>
          <t>2026/05/18</t>
        </is>
      </c>
      <c r="I557" s="0" t="n">
        <v>0</v>
      </c>
    </row>
    <row r="558">
      <c r="A558" s="0" t="inlineStr">
        <is>
          <t>香港專櫃課</t>
        </is>
      </c>
      <c r="B558" s="0" t="inlineStr">
        <is>
          <t>P0030</t>
        </is>
      </c>
      <c r="C558" s="0" t="inlineStr">
        <is>
          <t>周夏愉</t>
        </is>
      </c>
      <c r="D558" s="0" t="inlineStr">
        <is>
          <t>2026/05/19</t>
        </is>
      </c>
      <c r="E558" s="0" t="inlineStr">
        <is>
          <t>上班</t>
        </is>
      </c>
      <c r="F558" s="0" t="inlineStr">
        <is>
          <t>香港晚班</t>
        </is>
      </c>
      <c r="G558" s="0" t="inlineStr">
        <is>
          <t>16:00</t>
        </is>
      </c>
      <c r="H558" s="0" t="inlineStr">
        <is>
          <t>21:00</t>
        </is>
      </c>
      <c r="I558" s="0" t="n">
        <v>5</v>
      </c>
      <c r="J558" s="0" t="inlineStr">
        <is>
          <t>16:00</t>
        </is>
      </c>
      <c r="K558" s="0" t="inlineStr">
        <is>
          <t>21:00</t>
        </is>
      </c>
      <c r="L558" s="0" t="inlineStr">
        <is>
          <t>否</t>
        </is>
      </c>
    </row>
    <row r="559">
      <c r="A559" s="0" t="inlineStr">
        <is>
          <t>香港專櫃課</t>
        </is>
      </c>
      <c r="B559" s="0" t="inlineStr">
        <is>
          <t>P0030</t>
        </is>
      </c>
      <c r="C559" s="0" t="inlineStr">
        <is>
          <t>周夏愉</t>
        </is>
      </c>
      <c r="D559" s="0" t="inlineStr">
        <is>
          <t>2026/05/20</t>
        </is>
      </c>
      <c r="I559" s="0" t="n">
        <v>0</v>
      </c>
    </row>
    <row r="560">
      <c r="A560" s="0" t="inlineStr">
        <is>
          <t>香港專櫃課</t>
        </is>
      </c>
      <c r="B560" s="0" t="inlineStr">
        <is>
          <t>P0030</t>
        </is>
      </c>
      <c r="C560" s="0" t="inlineStr">
        <is>
          <t>周夏愉</t>
        </is>
      </c>
      <c r="D560" s="0" t="inlineStr">
        <is>
          <t>2026/05/21</t>
        </is>
      </c>
      <c r="I560" s="0" t="n">
        <v>0</v>
      </c>
    </row>
    <row r="561">
      <c r="A561" s="0" t="inlineStr">
        <is>
          <t>香港專櫃課</t>
        </is>
      </c>
      <c r="B561" s="0" t="inlineStr">
        <is>
          <t>P0030</t>
        </is>
      </c>
      <c r="C561" s="0" t="inlineStr">
        <is>
          <t>周夏愉</t>
        </is>
      </c>
      <c r="D561" s="0" t="inlineStr">
        <is>
          <t>2026/05/22</t>
        </is>
      </c>
      <c r="I561" s="0" t="n">
        <v>0</v>
      </c>
    </row>
    <row r="562">
      <c r="A562" s="0" t="inlineStr">
        <is>
          <t>香港專櫃課</t>
        </is>
      </c>
      <c r="B562" s="0" t="inlineStr">
        <is>
          <t>P0030</t>
        </is>
      </c>
      <c r="C562" s="0" t="inlineStr">
        <is>
          <t>周夏愉</t>
        </is>
      </c>
      <c r="D562" s="0" t="inlineStr">
        <is>
          <t>2026/05/23</t>
        </is>
      </c>
      <c r="E562" s="0" t="inlineStr">
        <is>
          <t>上班</t>
        </is>
      </c>
      <c r="F562" s="0" t="inlineStr">
        <is>
          <t>特殊晚班</t>
        </is>
      </c>
      <c r="G562" s="0" t="inlineStr">
        <is>
          <t>14:30</t>
        </is>
      </c>
      <c r="H562" s="0" t="inlineStr">
        <is>
          <t>19:30</t>
        </is>
      </c>
      <c r="I562" s="0" t="n">
        <v>5</v>
      </c>
      <c r="J562" s="0" t="inlineStr">
        <is>
          <t>14:30</t>
        </is>
      </c>
      <c r="K562" s="0" t="inlineStr">
        <is>
          <t>19:30</t>
        </is>
      </c>
      <c r="L562" s="0" t="inlineStr">
        <is>
          <t>否</t>
        </is>
      </c>
    </row>
    <row r="563">
      <c r="A563" s="0" t="inlineStr">
        <is>
          <t>香港專櫃課</t>
        </is>
      </c>
      <c r="B563" s="0" t="inlineStr">
        <is>
          <t>P0030</t>
        </is>
      </c>
      <c r="C563" s="0" t="inlineStr">
        <is>
          <t>周夏愉</t>
        </is>
      </c>
      <c r="D563" s="0" t="inlineStr">
        <is>
          <t>2026/05/24</t>
        </is>
      </c>
      <c r="I563" s="0" t="n">
        <v>0</v>
      </c>
    </row>
    <row r="564">
      <c r="A564" s="0" t="inlineStr">
        <is>
          <t>香港專櫃課</t>
        </is>
      </c>
      <c r="B564" s="0" t="inlineStr">
        <is>
          <t>P0030</t>
        </is>
      </c>
      <c r="C564" s="0" t="inlineStr">
        <is>
          <t>周夏愉</t>
        </is>
      </c>
      <c r="D564" s="0" t="inlineStr">
        <is>
          <t>2026/05/25</t>
        </is>
      </c>
      <c r="E564" s="0" t="inlineStr">
        <is>
          <t>國定假日</t>
        </is>
      </c>
      <c r="I564" s="0" t="n">
        <v>0</v>
      </c>
    </row>
    <row r="565">
      <c r="A565" s="0" t="inlineStr">
        <is>
          <t>香港專櫃課</t>
        </is>
      </c>
      <c r="B565" s="0" t="inlineStr">
        <is>
          <t>P0030</t>
        </is>
      </c>
      <c r="C565" s="0" t="inlineStr">
        <is>
          <t>周夏愉</t>
        </is>
      </c>
      <c r="D565" s="0" t="inlineStr">
        <is>
          <t>2026/05/26</t>
        </is>
      </c>
      <c r="I565" s="0" t="n">
        <v>0</v>
      </c>
    </row>
    <row r="566">
      <c r="A566" s="0" t="inlineStr">
        <is>
          <t>香港專櫃課</t>
        </is>
      </c>
      <c r="B566" s="0" t="inlineStr">
        <is>
          <t>P0030</t>
        </is>
      </c>
      <c r="C566" s="0" t="inlineStr">
        <is>
          <t>周夏愉</t>
        </is>
      </c>
      <c r="D566" s="0" t="inlineStr">
        <is>
          <t>2026/05/27</t>
        </is>
      </c>
      <c r="I566" s="0" t="n">
        <v>0</v>
      </c>
    </row>
    <row r="567">
      <c r="A567" s="0" t="inlineStr">
        <is>
          <t>香港專櫃課</t>
        </is>
      </c>
      <c r="B567" s="0" t="inlineStr">
        <is>
          <t>P0030</t>
        </is>
      </c>
      <c r="C567" s="0" t="inlineStr">
        <is>
          <t>周夏愉</t>
        </is>
      </c>
      <c r="D567" s="0" t="inlineStr">
        <is>
          <t>2026/05/28</t>
        </is>
      </c>
      <c r="I567" s="0" t="n">
        <v>0</v>
      </c>
    </row>
    <row r="568">
      <c r="A568" s="0" t="inlineStr">
        <is>
          <t>香港專櫃課</t>
        </is>
      </c>
      <c r="B568" s="0" t="inlineStr">
        <is>
          <t>P0030</t>
        </is>
      </c>
      <c r="C568" s="0" t="inlineStr">
        <is>
          <t>周夏愉</t>
        </is>
      </c>
      <c r="D568" s="0" t="inlineStr">
        <is>
          <t>2026/05/29</t>
        </is>
      </c>
      <c r="I568" s="0" t="n">
        <v>0</v>
      </c>
    </row>
    <row r="569">
      <c r="A569" s="0" t="inlineStr">
        <is>
          <t>香港專櫃課</t>
        </is>
      </c>
      <c r="B569" s="0" t="inlineStr">
        <is>
          <t>P0030</t>
        </is>
      </c>
      <c r="C569" s="0" t="inlineStr">
        <is>
          <t>周夏愉</t>
        </is>
      </c>
      <c r="D569" s="0" t="inlineStr">
        <is>
          <t>2026/05/30</t>
        </is>
      </c>
      <c r="E569" s="0" t="inlineStr">
        <is>
          <t>月休</t>
        </is>
      </c>
      <c r="I569" s="0" t="n">
        <v>0</v>
      </c>
    </row>
    <row r="570">
      <c r="A570" s="0" t="inlineStr">
        <is>
          <t>香港專櫃課</t>
        </is>
      </c>
      <c r="B570" s="0" t="inlineStr">
        <is>
          <t>P0030</t>
        </is>
      </c>
      <c r="C570" s="0" t="inlineStr">
        <is>
          <t>周夏愉</t>
        </is>
      </c>
      <c r="D570" s="0" t="inlineStr">
        <is>
          <t>2026/05/31</t>
        </is>
      </c>
      <c r="E570" s="0" t="inlineStr">
        <is>
          <t>月休</t>
        </is>
      </c>
      <c r="I570" s="0" t="n">
        <v>0</v>
      </c>
    </row>
    <row r="571">
      <c r="A571" s="0" t="inlineStr">
        <is>
          <t>香港專櫃課</t>
        </is>
      </c>
      <c r="B571" s="0" t="inlineStr">
        <is>
          <t>P0030</t>
        </is>
      </c>
      <c r="C571" s="0" t="inlineStr">
        <is>
          <t>周夏愉</t>
        </is>
      </c>
      <c r="D571" s="0" t="inlineStr">
        <is>
          <t>2026/06/01</t>
        </is>
      </c>
      <c r="E571" s="0" t="inlineStr">
        <is>
          <t>月休</t>
        </is>
      </c>
      <c r="I571" s="0" t="n">
        <v>0</v>
      </c>
    </row>
    <row r="572">
      <c r="A572" s="0" t="inlineStr">
        <is>
          <t>香港專櫃課</t>
        </is>
      </c>
      <c r="B572" s="0" t="inlineStr">
        <is>
          <t>P0030</t>
        </is>
      </c>
      <c r="C572" s="0" t="inlineStr">
        <is>
          <t>周夏愉</t>
        </is>
      </c>
      <c r="D572" s="0" t="inlineStr">
        <is>
          <t>2026/06/02</t>
        </is>
      </c>
      <c r="E572" s="0" t="inlineStr">
        <is>
          <t>月休</t>
        </is>
      </c>
      <c r="I572" s="0" t="n">
        <v>0</v>
      </c>
    </row>
    <row r="573">
      <c r="A573" s="0" t="inlineStr">
        <is>
          <t>香港專櫃課</t>
        </is>
      </c>
      <c r="B573" s="0" t="inlineStr">
        <is>
          <t>P0030</t>
        </is>
      </c>
      <c r="C573" s="0" t="inlineStr">
        <is>
          <t>周夏愉</t>
        </is>
      </c>
      <c r="D573" s="0" t="inlineStr">
        <is>
          <t>2026/06/03</t>
        </is>
      </c>
      <c r="E573" s="0" t="inlineStr">
        <is>
          <t>上班</t>
        </is>
      </c>
      <c r="F573" s="0" t="inlineStr">
        <is>
          <t>香港ALL班</t>
        </is>
      </c>
      <c r="G573" s="0" t="inlineStr">
        <is>
          <t>10:30</t>
        </is>
      </c>
      <c r="H573" s="0" t="inlineStr">
        <is>
          <t>21:00</t>
        </is>
      </c>
      <c r="I573" s="0" t="n">
        <v>10.5</v>
      </c>
      <c r="J573" s="0" t="inlineStr">
        <is>
          <t>10:30</t>
        </is>
      </c>
      <c r="K573" s="0" t="inlineStr">
        <is>
          <t>21:00</t>
        </is>
      </c>
      <c r="L573" s="0" t="inlineStr">
        <is>
          <t>否</t>
        </is>
      </c>
    </row>
    <row r="574">
      <c r="A574" s="0" t="inlineStr">
        <is>
          <t>香港專櫃課</t>
        </is>
      </c>
      <c r="B574" s="0" t="inlineStr">
        <is>
          <t>P0030</t>
        </is>
      </c>
      <c r="C574" s="0" t="inlineStr">
        <is>
          <t>周夏愉</t>
        </is>
      </c>
      <c r="D574" s="0" t="inlineStr">
        <is>
          <t>2026/06/04</t>
        </is>
      </c>
      <c r="E574" s="0" t="inlineStr">
        <is>
          <t>月休</t>
        </is>
      </c>
      <c r="I574" s="0" t="n">
        <v>0</v>
      </c>
    </row>
    <row r="575">
      <c r="A575" s="0" t="inlineStr">
        <is>
          <t>香港專櫃課</t>
        </is>
      </c>
      <c r="B575" s="0" t="inlineStr">
        <is>
          <t>P0030</t>
        </is>
      </c>
      <c r="C575" s="0" t="inlineStr">
        <is>
          <t>周夏愉</t>
        </is>
      </c>
      <c r="D575" s="0" t="inlineStr">
        <is>
          <t>2026/06/05</t>
        </is>
      </c>
      <c r="E575" s="0" t="inlineStr">
        <is>
          <t>上班</t>
        </is>
      </c>
      <c r="F575" s="0" t="inlineStr">
        <is>
          <t>香港ALL班</t>
        </is>
      </c>
      <c r="G575" s="0" t="inlineStr">
        <is>
          <t>10:30</t>
        </is>
      </c>
      <c r="H575" s="0" t="inlineStr">
        <is>
          <t>21:00</t>
        </is>
      </c>
      <c r="I575" s="0" t="n">
        <v>10.5</v>
      </c>
      <c r="J575" s="0" t="inlineStr">
        <is>
          <t>10:30</t>
        </is>
      </c>
      <c r="K575" s="0" t="inlineStr">
        <is>
          <t>21:00</t>
        </is>
      </c>
      <c r="L575" s="0" t="inlineStr">
        <is>
          <t>否</t>
        </is>
      </c>
    </row>
    <row r="576">
      <c r="A576" s="0" t="inlineStr">
        <is>
          <t>香港專櫃課</t>
        </is>
      </c>
      <c r="B576" s="0" t="inlineStr">
        <is>
          <t>P0030</t>
        </is>
      </c>
      <c r="C576" s="0" t="inlineStr">
        <is>
          <t>周夏愉</t>
        </is>
      </c>
      <c r="D576" s="0" t="inlineStr">
        <is>
          <t>2026/06/06</t>
        </is>
      </c>
      <c r="E576" s="0" t="inlineStr">
        <is>
          <t>上班</t>
        </is>
      </c>
      <c r="F576" s="0" t="inlineStr">
        <is>
          <t>特殊晚班</t>
        </is>
      </c>
      <c r="G576" s="0" t="inlineStr">
        <is>
          <t>14:30</t>
        </is>
      </c>
      <c r="H576" s="0" t="inlineStr">
        <is>
          <t>19:30</t>
        </is>
      </c>
      <c r="I576" s="0" t="n">
        <v>5</v>
      </c>
      <c r="J576" s="0" t="inlineStr">
        <is>
          <t>14:30</t>
        </is>
      </c>
      <c r="K576" s="0" t="inlineStr">
        <is>
          <t>19:30</t>
        </is>
      </c>
      <c r="L576" s="0" t="inlineStr">
        <is>
          <t>否</t>
        </is>
      </c>
    </row>
    <row r="577">
      <c r="A577" s="0" t="inlineStr">
        <is>
          <t>香港專櫃課</t>
        </is>
      </c>
      <c r="B577" s="0" t="inlineStr">
        <is>
          <t>P0030</t>
        </is>
      </c>
      <c r="C577" s="0" t="inlineStr">
        <is>
          <t>周夏愉</t>
        </is>
      </c>
      <c r="D577" s="0" t="inlineStr">
        <is>
          <t>2026/06/07</t>
        </is>
      </c>
      <c r="E577" s="0" t="inlineStr">
        <is>
          <t>月休</t>
        </is>
      </c>
      <c r="I577" s="0" t="n">
        <v>0</v>
      </c>
    </row>
    <row r="578">
      <c r="A578" s="0" t="inlineStr">
        <is>
          <t>香港專櫃課</t>
        </is>
      </c>
      <c r="B578" s="0" t="inlineStr">
        <is>
          <t>P0030</t>
        </is>
      </c>
      <c r="C578" s="0" t="inlineStr">
        <is>
          <t>周夏愉</t>
        </is>
      </c>
      <c r="D578" s="0" t="inlineStr">
        <is>
          <t>2026/06/08</t>
        </is>
      </c>
      <c r="E578" s="0" t="inlineStr">
        <is>
          <t>月休</t>
        </is>
      </c>
      <c r="I578" s="0" t="n">
        <v>0</v>
      </c>
    </row>
    <row r="579">
      <c r="A579" s="0" t="inlineStr">
        <is>
          <t>香港專櫃課</t>
        </is>
      </c>
      <c r="B579" s="0" t="inlineStr">
        <is>
          <t>P0030</t>
        </is>
      </c>
      <c r="C579" s="0" t="inlineStr">
        <is>
          <t>周夏愉</t>
        </is>
      </c>
      <c r="D579" s="0" t="inlineStr">
        <is>
          <t>2026/06/09</t>
        </is>
      </c>
      <c r="E579" s="0" t="inlineStr">
        <is>
          <t>上班</t>
        </is>
      </c>
      <c r="F579" s="0" t="inlineStr">
        <is>
          <t>香港早班</t>
        </is>
      </c>
      <c r="G579" s="0" t="inlineStr">
        <is>
          <t>10:30</t>
        </is>
      </c>
      <c r="H579" s="0" t="inlineStr">
        <is>
          <t>16:30</t>
        </is>
      </c>
      <c r="I579" s="0" t="n">
        <v>6</v>
      </c>
      <c r="J579" s="0" t="inlineStr">
        <is>
          <t>10:30</t>
        </is>
      </c>
      <c r="K579" s="0" t="inlineStr">
        <is>
          <t>16:30</t>
        </is>
      </c>
      <c r="L579" s="0" t="inlineStr">
        <is>
          <t>否</t>
        </is>
      </c>
    </row>
    <row r="580">
      <c r="A580" s="0" t="inlineStr">
        <is>
          <t>香港專櫃課</t>
        </is>
      </c>
      <c r="B580" s="0" t="inlineStr">
        <is>
          <t>P0030</t>
        </is>
      </c>
      <c r="C580" s="0" t="inlineStr">
        <is>
          <t>周夏愉</t>
        </is>
      </c>
      <c r="D580" s="0" t="inlineStr">
        <is>
          <t>2026/06/10</t>
        </is>
      </c>
      <c r="E580" s="0" t="inlineStr">
        <is>
          <t>月休</t>
        </is>
      </c>
      <c r="I580" s="0" t="n">
        <v>0</v>
      </c>
    </row>
    <row r="581">
      <c r="A581" s="0" t="inlineStr">
        <is>
          <t>香港專櫃課</t>
        </is>
      </c>
      <c r="B581" s="0" t="inlineStr">
        <is>
          <t>P0030</t>
        </is>
      </c>
      <c r="C581" s="0" t="inlineStr">
        <is>
          <t>周夏愉</t>
        </is>
      </c>
      <c r="D581" s="0" t="inlineStr">
        <is>
          <t>2026/06/11</t>
        </is>
      </c>
      <c r="E581" s="0" t="inlineStr">
        <is>
          <t>上班</t>
        </is>
      </c>
      <c r="F581" s="0" t="inlineStr">
        <is>
          <t>特殊晚班</t>
        </is>
      </c>
      <c r="G581" s="0" t="inlineStr">
        <is>
          <t>14:30</t>
        </is>
      </c>
      <c r="H581" s="0" t="inlineStr">
        <is>
          <t>19:30</t>
        </is>
      </c>
      <c r="I581" s="0" t="n">
        <v>5</v>
      </c>
      <c r="J581" s="0" t="inlineStr">
        <is>
          <t>14:30</t>
        </is>
      </c>
      <c r="K581" s="0" t="inlineStr">
        <is>
          <t>19:30</t>
        </is>
      </c>
      <c r="L581" s="0" t="inlineStr">
        <is>
          <t>否</t>
        </is>
      </c>
    </row>
    <row r="582">
      <c r="A582" s="0" t="inlineStr">
        <is>
          <t>香港專櫃課</t>
        </is>
      </c>
      <c r="B582" s="0" t="inlineStr">
        <is>
          <t>P0030</t>
        </is>
      </c>
      <c r="C582" s="0" t="inlineStr">
        <is>
          <t>周夏愉</t>
        </is>
      </c>
      <c r="D582" s="0" t="inlineStr">
        <is>
          <t>2026/06/12</t>
        </is>
      </c>
      <c r="E582" s="0" t="inlineStr">
        <is>
          <t>上班</t>
        </is>
      </c>
      <c r="F582" s="0" t="inlineStr">
        <is>
          <t>香港ALL班</t>
        </is>
      </c>
      <c r="G582" s="0" t="inlineStr">
        <is>
          <t>10:30</t>
        </is>
      </c>
      <c r="H582" s="0" t="inlineStr">
        <is>
          <t>21:00</t>
        </is>
      </c>
      <c r="I582" s="0" t="n">
        <v>10.5</v>
      </c>
      <c r="J582" s="0" t="inlineStr">
        <is>
          <t>10:30</t>
        </is>
      </c>
      <c r="K582" s="0" t="inlineStr">
        <is>
          <t>21:00</t>
        </is>
      </c>
      <c r="L582" s="0" t="inlineStr">
        <is>
          <t>否</t>
        </is>
      </c>
    </row>
    <row r="583">
      <c r="A583" s="0" t="inlineStr">
        <is>
          <t>香港專櫃課</t>
        </is>
      </c>
      <c r="B583" s="0" t="inlineStr">
        <is>
          <t>P0030</t>
        </is>
      </c>
      <c r="C583" s="0" t="inlineStr">
        <is>
          <t>周夏愉</t>
        </is>
      </c>
      <c r="D583" s="0" t="inlineStr">
        <is>
          <t>2026/06/13</t>
        </is>
      </c>
      <c r="E583" s="0" t="inlineStr">
        <is>
          <t>月休</t>
        </is>
      </c>
      <c r="I583" s="0" t="n">
        <v>0</v>
      </c>
    </row>
    <row r="584">
      <c r="A584" s="0" t="inlineStr">
        <is>
          <t>香港專櫃課</t>
        </is>
      </c>
      <c r="B584" s="0" t="inlineStr">
        <is>
          <t>P0030</t>
        </is>
      </c>
      <c r="C584" s="0" t="inlineStr">
        <is>
          <t>周夏愉</t>
        </is>
      </c>
      <c r="D584" s="0" t="inlineStr">
        <is>
          <t>2026/06/14</t>
        </is>
      </c>
      <c r="E584" s="0" t="inlineStr">
        <is>
          <t>月休</t>
        </is>
      </c>
      <c r="I584" s="0" t="n">
        <v>0</v>
      </c>
    </row>
    <row r="585">
      <c r="A585" s="0" t="inlineStr">
        <is>
          <t>香港專櫃課</t>
        </is>
      </c>
      <c r="B585" s="0" t="inlineStr">
        <is>
          <t>P0030</t>
        </is>
      </c>
      <c r="C585" s="0" t="inlineStr">
        <is>
          <t>周夏愉</t>
        </is>
      </c>
      <c r="D585" s="0" t="inlineStr">
        <is>
          <t>2026/06/15</t>
        </is>
      </c>
      <c r="E585" s="0" t="inlineStr">
        <is>
          <t>上班</t>
        </is>
      </c>
      <c r="F585" s="0" t="inlineStr">
        <is>
          <t>香港早班</t>
        </is>
      </c>
      <c r="G585" s="0" t="inlineStr">
        <is>
          <t>10:30</t>
        </is>
      </c>
      <c r="H585" s="0" t="inlineStr">
        <is>
          <t>16:30</t>
        </is>
      </c>
      <c r="I585" s="0" t="n">
        <v>6</v>
      </c>
      <c r="J585" s="0" t="inlineStr">
        <is>
          <t>10:30</t>
        </is>
      </c>
      <c r="K585" s="0" t="inlineStr">
        <is>
          <t>16:30</t>
        </is>
      </c>
      <c r="L585" s="0" t="inlineStr">
        <is>
          <t>否</t>
        </is>
      </c>
    </row>
    <row r="586">
      <c r="A586" s="0" t="inlineStr">
        <is>
          <t>香港專櫃課</t>
        </is>
      </c>
      <c r="B586" s="0" t="inlineStr">
        <is>
          <t>P0030</t>
        </is>
      </c>
      <c r="C586" s="0" t="inlineStr">
        <is>
          <t>周夏愉</t>
        </is>
      </c>
      <c r="D586" s="0" t="inlineStr">
        <is>
          <t>2026/06/16</t>
        </is>
      </c>
      <c r="E586" s="0" t="inlineStr">
        <is>
          <t>月休</t>
        </is>
      </c>
      <c r="I586" s="0" t="n">
        <v>0</v>
      </c>
    </row>
    <row r="587">
      <c r="A587" s="0" t="inlineStr">
        <is>
          <t>香港專櫃課</t>
        </is>
      </c>
      <c r="B587" s="0" t="inlineStr">
        <is>
          <t>P0030</t>
        </is>
      </c>
      <c r="C587" s="0" t="inlineStr">
        <is>
          <t>周夏愉</t>
        </is>
      </c>
      <c r="D587" s="0" t="inlineStr">
        <is>
          <t>2026/06/17</t>
        </is>
      </c>
      <c r="E587" s="0" t="inlineStr">
        <is>
          <t>月休</t>
        </is>
      </c>
      <c r="I587" s="0" t="n">
        <v>0</v>
      </c>
    </row>
    <row r="588">
      <c r="A588" s="0" t="inlineStr">
        <is>
          <t>香港專櫃課</t>
        </is>
      </c>
      <c r="B588" s="0" t="inlineStr">
        <is>
          <t>P0030</t>
        </is>
      </c>
      <c r="C588" s="0" t="inlineStr">
        <is>
          <t>周夏愉</t>
        </is>
      </c>
      <c r="D588" s="0" t="inlineStr">
        <is>
          <t>2026/06/18</t>
        </is>
      </c>
      <c r="E588" s="0" t="inlineStr">
        <is>
          <t>月休</t>
        </is>
      </c>
      <c r="I588" s="0" t="n">
        <v>0</v>
      </c>
    </row>
    <row r="589">
      <c r="A589" s="0" t="inlineStr">
        <is>
          <t>香港專櫃課</t>
        </is>
      </c>
      <c r="B589" s="0" t="inlineStr">
        <is>
          <t>P0030</t>
        </is>
      </c>
      <c r="C589" s="0" t="inlineStr">
        <is>
          <t>周夏愉</t>
        </is>
      </c>
      <c r="D589" s="0" t="inlineStr">
        <is>
          <t>2026/06/19</t>
        </is>
      </c>
      <c r="E589" s="0" t="inlineStr">
        <is>
          <t>上班</t>
        </is>
      </c>
      <c r="F589" s="0" t="inlineStr">
        <is>
          <t>香港ALL班</t>
        </is>
      </c>
      <c r="G589" s="0" t="inlineStr">
        <is>
          <t>10:30</t>
        </is>
      </c>
      <c r="H589" s="0" t="inlineStr">
        <is>
          <t>21:00</t>
        </is>
      </c>
      <c r="I589" s="0" t="n">
        <v>10.5</v>
      </c>
      <c r="J589" s="0" t="inlineStr">
        <is>
          <t>10:30</t>
        </is>
      </c>
      <c r="K589" s="0" t="inlineStr">
        <is>
          <t>21:00</t>
        </is>
      </c>
      <c r="L589" s="0" t="inlineStr">
        <is>
          <t>否</t>
        </is>
      </c>
    </row>
    <row r="590">
      <c r="A590" s="0" t="inlineStr">
        <is>
          <t>香港專櫃課</t>
        </is>
      </c>
      <c r="B590" s="0" t="inlineStr">
        <is>
          <t>P0030</t>
        </is>
      </c>
      <c r="C590" s="0" t="inlineStr">
        <is>
          <t>周夏愉</t>
        </is>
      </c>
      <c r="D590" s="0" t="inlineStr">
        <is>
          <t>2026/06/20</t>
        </is>
      </c>
      <c r="E590" s="0" t="inlineStr">
        <is>
          <t>上班</t>
        </is>
      </c>
      <c r="F590" s="0" t="inlineStr">
        <is>
          <t>特殊晚班</t>
        </is>
      </c>
      <c r="G590" s="0" t="inlineStr">
        <is>
          <t>14:30</t>
        </is>
      </c>
      <c r="H590" s="0" t="inlineStr">
        <is>
          <t>19:30</t>
        </is>
      </c>
      <c r="I590" s="0" t="n">
        <v>5</v>
      </c>
      <c r="J590" s="0" t="inlineStr">
        <is>
          <t>14:30</t>
        </is>
      </c>
      <c r="K590" s="0" t="inlineStr">
        <is>
          <t>19:30</t>
        </is>
      </c>
      <c r="L590" s="0" t="inlineStr">
        <is>
          <t>否</t>
        </is>
      </c>
    </row>
    <row r="591">
      <c r="A591" s="0" t="inlineStr">
        <is>
          <t>香港專櫃課</t>
        </is>
      </c>
      <c r="B591" s="0" t="inlineStr">
        <is>
          <t>P0030</t>
        </is>
      </c>
      <c r="C591" s="0" t="inlineStr">
        <is>
          <t>周夏愉</t>
        </is>
      </c>
      <c r="D591" s="0" t="inlineStr">
        <is>
          <t>2026/06/21</t>
        </is>
      </c>
      <c r="E591" s="0" t="inlineStr">
        <is>
          <t>上班</t>
        </is>
      </c>
      <c r="F591" s="0" t="inlineStr">
        <is>
          <t>香港晚班</t>
        </is>
      </c>
      <c r="G591" s="0" t="inlineStr">
        <is>
          <t>16:00</t>
        </is>
      </c>
      <c r="H591" s="0" t="inlineStr">
        <is>
          <t>21:00</t>
        </is>
      </c>
      <c r="I591" s="0" t="n">
        <v>5</v>
      </c>
      <c r="J591" s="0" t="inlineStr">
        <is>
          <t>16:00</t>
        </is>
      </c>
      <c r="K591" s="0" t="inlineStr">
        <is>
          <t>21:00</t>
        </is>
      </c>
      <c r="L591" s="0" t="inlineStr">
        <is>
          <t>否</t>
        </is>
      </c>
    </row>
    <row r="592">
      <c r="A592" s="0" t="inlineStr">
        <is>
          <t>香港專櫃課</t>
        </is>
      </c>
      <c r="B592" s="0" t="inlineStr">
        <is>
          <t>P0030</t>
        </is>
      </c>
      <c r="C592" s="0" t="inlineStr">
        <is>
          <t>周夏愉</t>
        </is>
      </c>
      <c r="D592" s="0" t="inlineStr">
        <is>
          <t>2026/06/22</t>
        </is>
      </c>
      <c r="E592" s="0" t="inlineStr">
        <is>
          <t>月休</t>
        </is>
      </c>
      <c r="I592" s="0" t="n">
        <v>0</v>
      </c>
    </row>
    <row r="593">
      <c r="A593" s="0" t="inlineStr">
        <is>
          <t>香港專櫃課</t>
        </is>
      </c>
      <c r="B593" s="0" t="inlineStr">
        <is>
          <t>P0030</t>
        </is>
      </c>
      <c r="C593" s="0" t="inlineStr">
        <is>
          <t>周夏愉</t>
        </is>
      </c>
      <c r="D593" s="0" t="inlineStr">
        <is>
          <t>2026/06/23</t>
        </is>
      </c>
      <c r="E593" s="0" t="inlineStr">
        <is>
          <t>上班</t>
        </is>
      </c>
      <c r="F593" s="0" t="inlineStr">
        <is>
          <t>香港早班</t>
        </is>
      </c>
      <c r="G593" s="0" t="inlineStr">
        <is>
          <t>10:30</t>
        </is>
      </c>
      <c r="H593" s="0" t="inlineStr">
        <is>
          <t>16:30</t>
        </is>
      </c>
      <c r="I593" s="0" t="n">
        <v>6</v>
      </c>
      <c r="J593" s="0" t="inlineStr">
        <is>
          <t>10:30</t>
        </is>
      </c>
      <c r="K593" s="0" t="inlineStr">
        <is>
          <t>16:30</t>
        </is>
      </c>
      <c r="L593" s="0" t="inlineStr">
        <is>
          <t>否</t>
        </is>
      </c>
    </row>
    <row r="594">
      <c r="A594" s="0" t="inlineStr">
        <is>
          <t>香港專櫃課</t>
        </is>
      </c>
      <c r="B594" s="0" t="inlineStr">
        <is>
          <t>P0030</t>
        </is>
      </c>
      <c r="C594" s="0" t="inlineStr">
        <is>
          <t>周夏愉</t>
        </is>
      </c>
      <c r="D594" s="0" t="inlineStr">
        <is>
          <t>2026/06/24</t>
        </is>
      </c>
      <c r="E594" s="0" t="inlineStr">
        <is>
          <t>月休</t>
        </is>
      </c>
      <c r="I594" s="0" t="n">
        <v>0</v>
      </c>
    </row>
    <row r="595">
      <c r="A595" s="0" t="inlineStr">
        <is>
          <t>香港專櫃課</t>
        </is>
      </c>
      <c r="B595" s="0" t="inlineStr">
        <is>
          <t>P0030</t>
        </is>
      </c>
      <c r="C595" s="0" t="inlineStr">
        <is>
          <t>周夏愉</t>
        </is>
      </c>
      <c r="D595" s="0" t="inlineStr">
        <is>
          <t>2026/06/25</t>
        </is>
      </c>
      <c r="E595" s="0" t="inlineStr">
        <is>
          <t>上班</t>
        </is>
      </c>
      <c r="F595" s="0" t="inlineStr">
        <is>
          <t>香港ALL班</t>
        </is>
      </c>
      <c r="G595" s="0" t="inlineStr">
        <is>
          <t>10:30</t>
        </is>
      </c>
      <c r="H595" s="0" t="inlineStr">
        <is>
          <t>21:00</t>
        </is>
      </c>
      <c r="I595" s="0" t="n">
        <v>10.5</v>
      </c>
      <c r="J595" s="0" t="inlineStr">
        <is>
          <t>10:30</t>
        </is>
      </c>
      <c r="K595" s="0" t="inlineStr">
        <is>
          <t>21:00</t>
        </is>
      </c>
      <c r="L595" s="0" t="inlineStr">
        <is>
          <t>否</t>
        </is>
      </c>
    </row>
    <row r="596">
      <c r="A596" s="0" t="inlineStr">
        <is>
          <t>香港專櫃課</t>
        </is>
      </c>
      <c r="B596" s="0" t="inlineStr">
        <is>
          <t>P0030</t>
        </is>
      </c>
      <c r="C596" s="0" t="inlineStr">
        <is>
          <t>周夏愉</t>
        </is>
      </c>
      <c r="D596" s="0" t="inlineStr">
        <is>
          <t>2026/06/26</t>
        </is>
      </c>
      <c r="E596" s="0" t="inlineStr">
        <is>
          <t>月休</t>
        </is>
      </c>
      <c r="I596" s="0" t="n">
        <v>0</v>
      </c>
    </row>
    <row r="597">
      <c r="A597" s="0" t="inlineStr">
        <is>
          <t>香港專櫃課</t>
        </is>
      </c>
      <c r="B597" s="0" t="inlineStr">
        <is>
          <t>P0030</t>
        </is>
      </c>
      <c r="C597" s="0" t="inlineStr">
        <is>
          <t>周夏愉</t>
        </is>
      </c>
      <c r="D597" s="0" t="inlineStr">
        <is>
          <t>2026/06/27</t>
        </is>
      </c>
      <c r="E597" s="0" t="inlineStr">
        <is>
          <t>月休</t>
        </is>
      </c>
      <c r="I597" s="0" t="n">
        <v>0</v>
      </c>
    </row>
    <row r="598">
      <c r="A598" s="0" t="inlineStr">
        <is>
          <t>香港專櫃課</t>
        </is>
      </c>
      <c r="B598" s="0" t="inlineStr">
        <is>
          <t>P0030</t>
        </is>
      </c>
      <c r="C598" s="0" t="inlineStr">
        <is>
          <t>周夏愉</t>
        </is>
      </c>
      <c r="D598" s="0" t="inlineStr">
        <is>
          <t>2026/06/28</t>
        </is>
      </c>
      <c r="E598" s="0" t="inlineStr">
        <is>
          <t>月休</t>
        </is>
      </c>
      <c r="I598" s="0" t="n">
        <v>0</v>
      </c>
    </row>
    <row r="599">
      <c r="A599" s="0" t="inlineStr">
        <is>
          <t>香港專櫃課</t>
        </is>
      </c>
      <c r="B599" s="0" t="inlineStr">
        <is>
          <t>P0030</t>
        </is>
      </c>
      <c r="C599" s="0" t="inlineStr">
        <is>
          <t>周夏愉</t>
        </is>
      </c>
      <c r="D599" s="0" t="inlineStr">
        <is>
          <t>2026/06/29</t>
        </is>
      </c>
      <c r="E599" s="0" t="inlineStr">
        <is>
          <t>月休</t>
        </is>
      </c>
      <c r="I599" s="0" t="n">
        <v>0</v>
      </c>
    </row>
    <row r="600">
      <c r="A600" s="0" t="inlineStr">
        <is>
          <t>香港專櫃課</t>
        </is>
      </c>
      <c r="B600" s="0" t="inlineStr">
        <is>
          <t>P0030</t>
        </is>
      </c>
      <c r="C600" s="0" t="inlineStr">
        <is>
          <t>周夏愉</t>
        </is>
      </c>
      <c r="D600" s="0" t="inlineStr">
        <is>
          <t>2026/06/30</t>
        </is>
      </c>
      <c r="E600" s="0" t="inlineStr">
        <is>
          <t>月休</t>
        </is>
      </c>
      <c r="I600" s="0" t="n">
        <v>0</v>
      </c>
    </row>
    <row r="601">
      <c r="A601" s="0" t="inlineStr">
        <is>
          <t>香港專櫃課</t>
        </is>
      </c>
      <c r="B601" s="0" t="inlineStr">
        <is>
          <t>P0030</t>
        </is>
      </c>
      <c r="C601" s="0" t="inlineStr">
        <is>
          <t>周夏愉</t>
        </is>
      </c>
      <c r="D601" s="0" t="inlineStr">
        <is>
          <t>2026/07/01</t>
        </is>
      </c>
      <c r="E601" s="0" t="inlineStr">
        <is>
          <t>國定假日</t>
        </is>
      </c>
      <c r="I601" s="0" t="n">
        <v>0</v>
      </c>
    </row>
    <row r="602">
      <c r="A602" s="0" t="inlineStr">
        <is>
          <t>香港專櫃課</t>
        </is>
      </c>
      <c r="B602" s="0" t="inlineStr">
        <is>
          <t>P0030</t>
        </is>
      </c>
      <c r="C602" s="0" t="inlineStr">
        <is>
          <t>周夏愉</t>
        </is>
      </c>
      <c r="D602" s="0" t="inlineStr">
        <is>
          <t>2026/07/02</t>
        </is>
      </c>
      <c r="I602" s="0" t="n">
        <v>0</v>
      </c>
    </row>
    <row r="603">
      <c r="A603" s="0" t="inlineStr">
        <is>
          <t>香港專櫃課</t>
        </is>
      </c>
      <c r="B603" s="0" t="inlineStr">
        <is>
          <t>P0030</t>
        </is>
      </c>
      <c r="C603" s="0" t="inlineStr">
        <is>
          <t>周夏愉</t>
        </is>
      </c>
      <c r="D603" s="0" t="inlineStr">
        <is>
          <t>2026/07/03</t>
        </is>
      </c>
      <c r="I603" s="0" t="n">
        <v>0</v>
      </c>
    </row>
    <row r="604">
      <c r="A604" s="0" t="inlineStr">
        <is>
          <t>香港專櫃課</t>
        </is>
      </c>
      <c r="B604" s="0" t="inlineStr">
        <is>
          <t>P0030</t>
        </is>
      </c>
      <c r="C604" s="0" t="inlineStr">
        <is>
          <t>周夏愉</t>
        </is>
      </c>
      <c r="D604" s="0" t="inlineStr">
        <is>
          <t>2026/07/04</t>
        </is>
      </c>
      <c r="I604" s="0" t="n">
        <v>0</v>
      </c>
    </row>
    <row r="605">
      <c r="A605" s="0" t="inlineStr">
        <is>
          <t>香港專櫃課</t>
        </is>
      </c>
      <c r="B605" s="0" t="inlineStr">
        <is>
          <t>P0030</t>
        </is>
      </c>
      <c r="C605" s="0" t="inlineStr">
        <is>
          <t>周夏愉</t>
        </is>
      </c>
      <c r="D605" s="0" t="inlineStr">
        <is>
          <t>2026/07/05</t>
        </is>
      </c>
      <c r="I605" s="0" t="n">
        <v>0</v>
      </c>
    </row>
    <row r="606">
      <c r="A606" s="0" t="inlineStr">
        <is>
          <t>香港專櫃課</t>
        </is>
      </c>
      <c r="B606" s="0" t="inlineStr">
        <is>
          <t>P0030</t>
        </is>
      </c>
      <c r="C606" s="0" t="inlineStr">
        <is>
          <t>周夏愉</t>
        </is>
      </c>
      <c r="D606" s="0" t="inlineStr">
        <is>
          <t>2026/07/06</t>
        </is>
      </c>
      <c r="E606" s="0" t="inlineStr">
        <is>
          <t>上班</t>
        </is>
      </c>
      <c r="F606" s="0" t="inlineStr">
        <is>
          <t>香港晚班</t>
        </is>
      </c>
      <c r="G606" s="0" t="inlineStr">
        <is>
          <t>16:00</t>
        </is>
      </c>
      <c r="H606" s="0" t="inlineStr">
        <is>
          <t>21:00</t>
        </is>
      </c>
      <c r="I606" s="0" t="n">
        <v>5</v>
      </c>
      <c r="J606" s="0" t="inlineStr">
        <is>
          <t>16:00</t>
        </is>
      </c>
      <c r="K606" s="0" t="inlineStr">
        <is>
          <t>21:00</t>
        </is>
      </c>
      <c r="L606" s="0" t="inlineStr">
        <is>
          <t>否</t>
        </is>
      </c>
    </row>
    <row r="607">
      <c r="A607" s="0" t="inlineStr">
        <is>
          <t>香港專櫃課</t>
        </is>
      </c>
      <c r="B607" s="0" t="inlineStr">
        <is>
          <t>P0030</t>
        </is>
      </c>
      <c r="C607" s="0" t="inlineStr">
        <is>
          <t>周夏愉</t>
        </is>
      </c>
      <c r="D607" s="0" t="inlineStr">
        <is>
          <t>2026/07/07</t>
        </is>
      </c>
      <c r="E607" s="0" t="inlineStr">
        <is>
          <t>上班</t>
        </is>
      </c>
      <c r="F607" s="0" t="inlineStr">
        <is>
          <t>香港晚班</t>
        </is>
      </c>
      <c r="G607" s="0" t="inlineStr">
        <is>
          <t>16:00</t>
        </is>
      </c>
      <c r="H607" s="0" t="inlineStr">
        <is>
          <t>21:00</t>
        </is>
      </c>
      <c r="I607" s="0" t="n">
        <v>5</v>
      </c>
      <c r="J607" s="0" t="inlineStr">
        <is>
          <t>16:00</t>
        </is>
      </c>
      <c r="K607" s="0" t="inlineStr">
        <is>
          <t>21:00</t>
        </is>
      </c>
      <c r="L607" s="0" t="inlineStr">
        <is>
          <t>否</t>
        </is>
      </c>
    </row>
    <row r="608">
      <c r="A608" s="0" t="inlineStr">
        <is>
          <t>香港專櫃課</t>
        </is>
      </c>
      <c r="B608" s="0" t="inlineStr">
        <is>
          <t>P0030</t>
        </is>
      </c>
      <c r="C608" s="0" t="inlineStr">
        <is>
          <t>周夏愉</t>
        </is>
      </c>
      <c r="D608" s="0" t="inlineStr">
        <is>
          <t>2026/07/08</t>
        </is>
      </c>
      <c r="I608" s="0" t="n">
        <v>0</v>
      </c>
    </row>
    <row r="609">
      <c r="A609" s="0" t="inlineStr">
        <is>
          <t>香港專櫃課</t>
        </is>
      </c>
      <c r="B609" s="0" t="inlineStr">
        <is>
          <t>P0030</t>
        </is>
      </c>
      <c r="C609" s="0" t="inlineStr">
        <is>
          <t>周夏愉</t>
        </is>
      </c>
      <c r="D609" s="0" t="inlineStr">
        <is>
          <t>2026/07/09</t>
        </is>
      </c>
      <c r="I609" s="0" t="n">
        <v>0</v>
      </c>
    </row>
    <row r="610">
      <c r="A610" s="0" t="inlineStr">
        <is>
          <t>香港專櫃課</t>
        </is>
      </c>
      <c r="B610" s="0" t="inlineStr">
        <is>
          <t>P0030</t>
        </is>
      </c>
      <c r="C610" s="0" t="inlineStr">
        <is>
          <t>周夏愉</t>
        </is>
      </c>
      <c r="D610" s="0" t="inlineStr">
        <is>
          <t>2026/07/10</t>
        </is>
      </c>
      <c r="I610" s="0" t="n">
        <v>0</v>
      </c>
    </row>
    <row r="611">
      <c r="A611" s="0" t="inlineStr">
        <is>
          <t>香港專櫃課</t>
        </is>
      </c>
      <c r="B611" s="0" t="inlineStr">
        <is>
          <t>P0030</t>
        </is>
      </c>
      <c r="C611" s="0" t="inlineStr">
        <is>
          <t>周夏愉</t>
        </is>
      </c>
      <c r="D611" s="0" t="inlineStr">
        <is>
          <t>2026/07/11</t>
        </is>
      </c>
      <c r="I611" s="0" t="n">
        <v>0</v>
      </c>
    </row>
    <row r="612">
      <c r="A612" s="0" t="inlineStr">
        <is>
          <t>香港專櫃課</t>
        </is>
      </c>
      <c r="B612" s="0" t="inlineStr">
        <is>
          <t>P0030</t>
        </is>
      </c>
      <c r="C612" s="0" t="inlineStr">
        <is>
          <t>周夏愉</t>
        </is>
      </c>
      <c r="D612" s="0" t="inlineStr">
        <is>
          <t>2026/07/12</t>
        </is>
      </c>
      <c r="E612" s="0" t="inlineStr">
        <is>
          <t>上班</t>
        </is>
      </c>
      <c r="F612" s="0" t="inlineStr">
        <is>
          <t>香港晚班</t>
        </is>
      </c>
      <c r="G612" s="0" t="inlineStr">
        <is>
          <t>16:00</t>
        </is>
      </c>
      <c r="H612" s="0" t="inlineStr">
        <is>
          <t>21:00</t>
        </is>
      </c>
      <c r="I612" s="0" t="n">
        <v>5</v>
      </c>
      <c r="J612" s="0" t="inlineStr">
        <is>
          <t>16:00</t>
        </is>
      </c>
      <c r="K612" s="0" t="inlineStr">
        <is>
          <t>21:00</t>
        </is>
      </c>
      <c r="L612" s="0" t="inlineStr">
        <is>
          <t>否</t>
        </is>
      </c>
    </row>
    <row r="613">
      <c r="A613" s="0" t="inlineStr">
        <is>
          <t>香港專櫃課</t>
        </is>
      </c>
      <c r="B613" s="0" t="inlineStr">
        <is>
          <t>P0030</t>
        </is>
      </c>
      <c r="C613" s="0" t="inlineStr">
        <is>
          <t>周夏愉</t>
        </is>
      </c>
      <c r="D613" s="0" t="inlineStr">
        <is>
          <t>2026/07/13</t>
        </is>
      </c>
      <c r="E613" s="0" t="inlineStr">
        <is>
          <t>上班</t>
        </is>
      </c>
      <c r="F613" s="0" t="inlineStr">
        <is>
          <t>香港早班</t>
        </is>
      </c>
      <c r="G613" s="0" t="inlineStr">
        <is>
          <t>10:30</t>
        </is>
      </c>
      <c r="H613" s="0" t="inlineStr">
        <is>
          <t>16:30</t>
        </is>
      </c>
      <c r="I613" s="0" t="n">
        <v>6</v>
      </c>
      <c r="J613" s="0" t="inlineStr">
        <is>
          <t>10:30</t>
        </is>
      </c>
      <c r="K613" s="0" t="inlineStr">
        <is>
          <t>16:30</t>
        </is>
      </c>
      <c r="L613" s="0" t="inlineStr">
        <is>
          <t>否</t>
        </is>
      </c>
    </row>
    <row r="614">
      <c r="A614" s="0" t="inlineStr">
        <is>
          <t>香港專櫃課</t>
        </is>
      </c>
      <c r="B614" s="0" t="inlineStr">
        <is>
          <t>P0030</t>
        </is>
      </c>
      <c r="C614" s="0" t="inlineStr">
        <is>
          <t>周夏愉</t>
        </is>
      </c>
      <c r="D614" s="0" t="inlineStr">
        <is>
          <t>2026/07/14</t>
        </is>
      </c>
      <c r="I614" s="0" t="n">
        <v>0</v>
      </c>
    </row>
    <row r="615">
      <c r="A615" s="0" t="inlineStr">
        <is>
          <t>香港專櫃課</t>
        </is>
      </c>
      <c r="B615" s="0" t="inlineStr">
        <is>
          <t>P0030</t>
        </is>
      </c>
      <c r="C615" s="0" t="inlineStr">
        <is>
          <t>周夏愉</t>
        </is>
      </c>
      <c r="D615" s="0" t="inlineStr">
        <is>
          <t>2026/07/15</t>
        </is>
      </c>
      <c r="I615" s="0" t="n">
        <v>0</v>
      </c>
    </row>
    <row r="616">
      <c r="A616" s="0" t="inlineStr">
        <is>
          <t>香港專櫃課</t>
        </is>
      </c>
      <c r="B616" s="0" t="inlineStr">
        <is>
          <t>P0030</t>
        </is>
      </c>
      <c r="C616" s="0" t="inlineStr">
        <is>
          <t>周夏愉</t>
        </is>
      </c>
      <c r="D616" s="0" t="inlineStr">
        <is>
          <t>2026/07/16</t>
        </is>
      </c>
      <c r="I616" s="0" t="n">
        <v>0</v>
      </c>
    </row>
    <row r="617">
      <c r="A617" s="0" t="inlineStr">
        <is>
          <t>香港專櫃課</t>
        </is>
      </c>
      <c r="B617" s="0" t="inlineStr">
        <is>
          <t>P0030</t>
        </is>
      </c>
      <c r="C617" s="0" t="inlineStr">
        <is>
          <t>周夏愉</t>
        </is>
      </c>
      <c r="D617" s="0" t="inlineStr">
        <is>
          <t>2026/07/17</t>
        </is>
      </c>
      <c r="I617" s="0" t="n">
        <v>0</v>
      </c>
    </row>
    <row r="618">
      <c r="A618" s="0" t="inlineStr">
        <is>
          <t>香港專櫃課</t>
        </is>
      </c>
      <c r="B618" s="0" t="inlineStr">
        <is>
          <t>P0030</t>
        </is>
      </c>
      <c r="C618" s="0" t="inlineStr">
        <is>
          <t>周夏愉</t>
        </is>
      </c>
      <c r="D618" s="0" t="inlineStr">
        <is>
          <t>2026/07/18</t>
        </is>
      </c>
      <c r="I618" s="0" t="n">
        <v>0</v>
      </c>
    </row>
    <row r="619">
      <c r="A619" s="0" t="inlineStr">
        <is>
          <t>香港專櫃課</t>
        </is>
      </c>
      <c r="B619" s="0" t="inlineStr">
        <is>
          <t>P0030</t>
        </is>
      </c>
      <c r="C619" s="0" t="inlineStr">
        <is>
          <t>周夏愉</t>
        </is>
      </c>
      <c r="D619" s="0" t="inlineStr">
        <is>
          <t>2026/07/19</t>
        </is>
      </c>
      <c r="I619" s="0" t="n">
        <v>0</v>
      </c>
    </row>
    <row r="620">
      <c r="A620" s="0" t="inlineStr">
        <is>
          <t>香港專櫃課</t>
        </is>
      </c>
      <c r="B620" s="0" t="inlineStr">
        <is>
          <t>P0030</t>
        </is>
      </c>
      <c r="C620" s="0" t="inlineStr">
        <is>
          <t>周夏愉</t>
        </is>
      </c>
      <c r="D620" s="0" t="inlineStr">
        <is>
          <t>2026/07/20</t>
        </is>
      </c>
      <c r="E620" s="0" t="inlineStr">
        <is>
          <t>上班</t>
        </is>
      </c>
      <c r="F620" s="0" t="inlineStr">
        <is>
          <t>香港早班</t>
        </is>
      </c>
      <c r="G620" s="0" t="inlineStr">
        <is>
          <t>10:30</t>
        </is>
      </c>
      <c r="H620" s="0" t="inlineStr">
        <is>
          <t>16:30</t>
        </is>
      </c>
      <c r="I620" s="0" t="n">
        <v>6</v>
      </c>
      <c r="J620" s="0" t="inlineStr">
        <is>
          <t>10:30</t>
        </is>
      </c>
      <c r="K620" s="0" t="inlineStr">
        <is>
          <t>16:30</t>
        </is>
      </c>
      <c r="L620" s="0" t="inlineStr">
        <is>
          <t>否</t>
        </is>
      </c>
    </row>
    <row r="621">
      <c r="A621" s="0" t="inlineStr">
        <is>
          <t>香港專櫃課</t>
        </is>
      </c>
      <c r="B621" s="0" t="inlineStr">
        <is>
          <t>P0030</t>
        </is>
      </c>
      <c r="C621" s="0" t="inlineStr">
        <is>
          <t>周夏愉</t>
        </is>
      </c>
      <c r="D621" s="0" t="inlineStr">
        <is>
          <t>2026/07/21</t>
        </is>
      </c>
      <c r="I621" s="0" t="n">
        <v>0</v>
      </c>
    </row>
    <row r="622">
      <c r="A622" s="0" t="inlineStr">
        <is>
          <t>香港專櫃課</t>
        </is>
      </c>
      <c r="B622" s="0" t="inlineStr">
        <is>
          <t>P0030</t>
        </is>
      </c>
      <c r="C622" s="0" t="inlineStr">
        <is>
          <t>周夏愉</t>
        </is>
      </c>
      <c r="D622" s="0" t="inlineStr">
        <is>
          <t>2026/07/22</t>
        </is>
      </c>
      <c r="E622" s="0" t="inlineStr">
        <is>
          <t>上班</t>
        </is>
      </c>
      <c r="F622" s="0" t="inlineStr">
        <is>
          <t>香港ALL班</t>
        </is>
      </c>
      <c r="G622" s="0" t="inlineStr">
        <is>
          <t>10:30</t>
        </is>
      </c>
      <c r="H622" s="0" t="inlineStr">
        <is>
          <t>21:00</t>
        </is>
      </c>
      <c r="I622" s="0" t="n">
        <v>10.5</v>
      </c>
      <c r="J622" s="0" t="inlineStr">
        <is>
          <t>10:30</t>
        </is>
      </c>
      <c r="K622" s="0" t="inlineStr">
        <is>
          <t>21:00</t>
        </is>
      </c>
      <c r="L622" s="0" t="inlineStr">
        <is>
          <t>否</t>
        </is>
      </c>
    </row>
    <row r="623">
      <c r="A623" s="0" t="inlineStr">
        <is>
          <t>香港專櫃課</t>
        </is>
      </c>
      <c r="B623" s="0" t="inlineStr">
        <is>
          <t>P0030</t>
        </is>
      </c>
      <c r="C623" s="0" t="inlineStr">
        <is>
          <t>周夏愉</t>
        </is>
      </c>
      <c r="D623" s="0" t="inlineStr">
        <is>
          <t>2026/07/23</t>
        </is>
      </c>
      <c r="E623" s="0" t="inlineStr">
        <is>
          <t>月休</t>
        </is>
      </c>
      <c r="I623" s="0" t="n">
        <v>0</v>
      </c>
    </row>
    <row r="624">
      <c r="A624" s="0" t="inlineStr">
        <is>
          <t>香港專櫃課</t>
        </is>
      </c>
      <c r="B624" s="0" t="inlineStr">
        <is>
          <t>P0030</t>
        </is>
      </c>
      <c r="C624" s="0" t="inlineStr">
        <is>
          <t>周夏愉</t>
        </is>
      </c>
      <c r="D624" s="0" t="inlineStr">
        <is>
          <t>2026/07/24</t>
        </is>
      </c>
      <c r="I624" s="0" t="n">
        <v>0</v>
      </c>
    </row>
    <row r="625">
      <c r="A625" s="0" t="inlineStr">
        <is>
          <t>香港專櫃課</t>
        </is>
      </c>
      <c r="B625" s="0" t="inlineStr">
        <is>
          <t>P0030</t>
        </is>
      </c>
      <c r="C625" s="0" t="inlineStr">
        <is>
          <t>周夏愉</t>
        </is>
      </c>
      <c r="D625" s="0" t="inlineStr">
        <is>
          <t>2026/07/25</t>
        </is>
      </c>
      <c r="I625" s="0" t="n">
        <v>0</v>
      </c>
    </row>
    <row r="626">
      <c r="A626" s="0" t="inlineStr">
        <is>
          <t>香港專櫃課</t>
        </is>
      </c>
      <c r="B626" s="0" t="inlineStr">
        <is>
          <t>P0030</t>
        </is>
      </c>
      <c r="C626" s="0" t="inlineStr">
        <is>
          <t>周夏愉</t>
        </is>
      </c>
      <c r="D626" s="0" t="inlineStr">
        <is>
          <t>2026/07/26</t>
        </is>
      </c>
      <c r="I626" s="0" t="n">
        <v>0</v>
      </c>
    </row>
    <row r="627">
      <c r="A627" s="0" t="inlineStr">
        <is>
          <t>香港專櫃課</t>
        </is>
      </c>
      <c r="B627" s="0" t="inlineStr">
        <is>
          <t>P0030</t>
        </is>
      </c>
      <c r="C627" s="0" t="inlineStr">
        <is>
          <t>周夏愉</t>
        </is>
      </c>
      <c r="D627" s="0" t="inlineStr">
        <is>
          <t>2026/07/27</t>
        </is>
      </c>
      <c r="I627" s="0" t="n">
        <v>0</v>
      </c>
    </row>
    <row r="628">
      <c r="A628" s="0" t="inlineStr">
        <is>
          <t>香港專櫃課</t>
        </is>
      </c>
      <c r="B628" s="0" t="inlineStr">
        <is>
          <t>P0030</t>
        </is>
      </c>
      <c r="C628" s="0" t="inlineStr">
        <is>
          <t>周夏愉</t>
        </is>
      </c>
      <c r="D628" s="0" t="inlineStr">
        <is>
          <t>2026/07/28</t>
        </is>
      </c>
      <c r="I628" s="0" t="n">
        <v>0</v>
      </c>
    </row>
    <row r="629">
      <c r="A629" s="0" t="inlineStr">
        <is>
          <t>香港專櫃課</t>
        </is>
      </c>
      <c r="B629" s="0" t="inlineStr">
        <is>
          <t>P0030</t>
        </is>
      </c>
      <c r="C629" s="0" t="inlineStr">
        <is>
          <t>周夏愉</t>
        </is>
      </c>
      <c r="D629" s="0" t="inlineStr">
        <is>
          <t>2026/07/29</t>
        </is>
      </c>
      <c r="I629" s="0" t="n">
        <v>0</v>
      </c>
    </row>
    <row r="630">
      <c r="A630" s="0" t="inlineStr">
        <is>
          <t>香港專櫃課</t>
        </is>
      </c>
      <c r="B630" s="0" t="inlineStr">
        <is>
          <t>P0030</t>
        </is>
      </c>
      <c r="C630" s="0" t="inlineStr">
        <is>
          <t>周夏愉</t>
        </is>
      </c>
      <c r="D630" s="0" t="inlineStr">
        <is>
          <t>2026/07/30</t>
        </is>
      </c>
      <c r="I630" s="0" t="n">
        <v>0</v>
      </c>
    </row>
    <row r="631">
      <c r="A631" s="0" t="inlineStr">
        <is>
          <t>香港專櫃課</t>
        </is>
      </c>
      <c r="B631" s="0" t="inlineStr">
        <is>
          <t>P0030</t>
        </is>
      </c>
      <c r="C631" s="0" t="inlineStr">
        <is>
          <t>周夏愉</t>
        </is>
      </c>
      <c r="D631" s="0" t="inlineStr">
        <is>
          <t>2026/07/31</t>
        </is>
      </c>
      <c r="I631" s="0" t="n">
        <v>0</v>
      </c>
    </row>
    <row r="632">
      <c r="A632" s="0" t="inlineStr">
        <is>
          <t>香港專櫃課</t>
        </is>
      </c>
      <c r="B632" s="0" t="inlineStr">
        <is>
          <t>P0031</t>
        </is>
      </c>
      <c r="C632" s="0" t="inlineStr">
        <is>
          <t>梁綽恩</t>
        </is>
      </c>
      <c r="D632" s="0" t="inlineStr">
        <is>
          <t>2026/03/01</t>
        </is>
      </c>
      <c r="I632" s="0" t="n">
        <v>0</v>
      </c>
    </row>
    <row r="633">
      <c r="A633" s="0" t="inlineStr">
        <is>
          <t>香港專櫃課</t>
        </is>
      </c>
      <c r="B633" s="0" t="inlineStr">
        <is>
          <t>P0031</t>
        </is>
      </c>
      <c r="C633" s="0" t="inlineStr">
        <is>
          <t>梁綽恩</t>
        </is>
      </c>
      <c r="D633" s="0" t="inlineStr">
        <is>
          <t>2026/03/02</t>
        </is>
      </c>
      <c r="I633" s="0" t="n">
        <v>0</v>
      </c>
    </row>
    <row r="634">
      <c r="A634" s="0" t="inlineStr">
        <is>
          <t>香港專櫃課</t>
        </is>
      </c>
      <c r="B634" s="0" t="inlineStr">
        <is>
          <t>P0031</t>
        </is>
      </c>
      <c r="C634" s="0" t="inlineStr">
        <is>
          <t>梁綽恩</t>
        </is>
      </c>
      <c r="D634" s="0" t="inlineStr">
        <is>
          <t>2026/03/03</t>
        </is>
      </c>
      <c r="I634" s="0" t="n">
        <v>0</v>
      </c>
    </row>
    <row r="635">
      <c r="A635" s="0" t="inlineStr">
        <is>
          <t>香港專櫃課</t>
        </is>
      </c>
      <c r="B635" s="0" t="inlineStr">
        <is>
          <t>P0031</t>
        </is>
      </c>
      <c r="C635" s="0" t="inlineStr">
        <is>
          <t>梁綽恩</t>
        </is>
      </c>
      <c r="D635" s="0" t="inlineStr">
        <is>
          <t>2026/03/04</t>
        </is>
      </c>
      <c r="I635" s="0" t="n">
        <v>0</v>
      </c>
    </row>
    <row r="636">
      <c r="A636" s="0" t="inlineStr">
        <is>
          <t>香港專櫃課</t>
        </is>
      </c>
      <c r="B636" s="0" t="inlineStr">
        <is>
          <t>P0031</t>
        </is>
      </c>
      <c r="C636" s="0" t="inlineStr">
        <is>
          <t>梁綽恩</t>
        </is>
      </c>
      <c r="D636" s="0" t="inlineStr">
        <is>
          <t>2026/03/05</t>
        </is>
      </c>
      <c r="I636" s="0" t="n">
        <v>0</v>
      </c>
    </row>
    <row r="637">
      <c r="A637" s="0" t="inlineStr">
        <is>
          <t>香港專櫃課</t>
        </is>
      </c>
      <c r="B637" s="0" t="inlineStr">
        <is>
          <t>P0031</t>
        </is>
      </c>
      <c r="C637" s="0" t="inlineStr">
        <is>
          <t>梁綽恩</t>
        </is>
      </c>
      <c r="D637" s="0" t="inlineStr">
        <is>
          <t>2026/03/06</t>
        </is>
      </c>
      <c r="I637" s="0" t="n">
        <v>0</v>
      </c>
    </row>
    <row r="638">
      <c r="A638" s="0" t="inlineStr">
        <is>
          <t>香港專櫃課</t>
        </is>
      </c>
      <c r="B638" s="0" t="inlineStr">
        <is>
          <t>P0031</t>
        </is>
      </c>
      <c r="C638" s="0" t="inlineStr">
        <is>
          <t>梁綽恩</t>
        </is>
      </c>
      <c r="D638" s="0" t="inlineStr">
        <is>
          <t>2026/03/07</t>
        </is>
      </c>
      <c r="I638" s="0" t="n">
        <v>0</v>
      </c>
    </row>
    <row r="639">
      <c r="A639" s="0" t="inlineStr">
        <is>
          <t>香港專櫃課</t>
        </is>
      </c>
      <c r="B639" s="0" t="inlineStr">
        <is>
          <t>P0031</t>
        </is>
      </c>
      <c r="C639" s="0" t="inlineStr">
        <is>
          <t>梁綽恩</t>
        </is>
      </c>
      <c r="D639" s="0" t="inlineStr">
        <is>
          <t>2026/03/08</t>
        </is>
      </c>
      <c r="I639" s="0" t="n">
        <v>0</v>
      </c>
    </row>
    <row r="640">
      <c r="A640" s="0" t="inlineStr">
        <is>
          <t>香港專櫃課</t>
        </is>
      </c>
      <c r="B640" s="0" t="inlineStr">
        <is>
          <t>P0031</t>
        </is>
      </c>
      <c r="C640" s="0" t="inlineStr">
        <is>
          <t>梁綽恩</t>
        </is>
      </c>
      <c r="D640" s="0" t="inlineStr">
        <is>
          <t>2026/03/09</t>
        </is>
      </c>
      <c r="I640" s="0" t="n">
        <v>0</v>
      </c>
    </row>
    <row r="641">
      <c r="A641" s="0" t="inlineStr">
        <is>
          <t>香港專櫃課</t>
        </is>
      </c>
      <c r="B641" s="0" t="inlineStr">
        <is>
          <t>P0031</t>
        </is>
      </c>
      <c r="C641" s="0" t="inlineStr">
        <is>
          <t>梁綽恩</t>
        </is>
      </c>
      <c r="D641" s="0" t="inlineStr">
        <is>
          <t>2026/03/10</t>
        </is>
      </c>
      <c r="I641" s="0" t="n">
        <v>0</v>
      </c>
    </row>
    <row r="642">
      <c r="A642" s="0" t="inlineStr">
        <is>
          <t>香港專櫃課</t>
        </is>
      </c>
      <c r="B642" s="0" t="inlineStr">
        <is>
          <t>P0031</t>
        </is>
      </c>
      <c r="C642" s="0" t="inlineStr">
        <is>
          <t>梁綽恩</t>
        </is>
      </c>
      <c r="D642" s="0" t="inlineStr">
        <is>
          <t>2026/03/11</t>
        </is>
      </c>
      <c r="I642" s="0" t="n">
        <v>0</v>
      </c>
    </row>
    <row r="643">
      <c r="A643" s="0" t="inlineStr">
        <is>
          <t>香港專櫃課</t>
        </is>
      </c>
      <c r="B643" s="0" t="inlineStr">
        <is>
          <t>P0031</t>
        </is>
      </c>
      <c r="C643" s="0" t="inlineStr">
        <is>
          <t>梁綽恩</t>
        </is>
      </c>
      <c r="D643" s="0" t="inlineStr">
        <is>
          <t>2026/03/12</t>
        </is>
      </c>
      <c r="E643" s="0" t="inlineStr">
        <is>
          <t>上班</t>
        </is>
      </c>
      <c r="F643" s="0" t="inlineStr">
        <is>
          <t>職前訓練</t>
        </is>
      </c>
      <c r="G643" s="0" t="inlineStr">
        <is>
          <t>18:00</t>
        </is>
      </c>
      <c r="H643" s="0" t="inlineStr">
        <is>
          <t>20:00</t>
        </is>
      </c>
      <c r="I643" s="0" t="n">
        <v>2</v>
      </c>
      <c r="J643" s="0" t="inlineStr">
        <is>
          <t>18:00</t>
        </is>
      </c>
      <c r="K643" s="0" t="inlineStr">
        <is>
          <t>20:00</t>
        </is>
      </c>
      <c r="L643" s="0" t="inlineStr">
        <is>
          <t>否</t>
        </is>
      </c>
    </row>
    <row r="644">
      <c r="A644" s="0" t="inlineStr">
        <is>
          <t>香港專櫃課</t>
        </is>
      </c>
      <c r="B644" s="0" t="inlineStr">
        <is>
          <t>P0031</t>
        </is>
      </c>
      <c r="C644" s="0" t="inlineStr">
        <is>
          <t>梁綽恩</t>
        </is>
      </c>
      <c r="D644" s="0" t="inlineStr">
        <is>
          <t>2026/03/13</t>
        </is>
      </c>
      <c r="I644" s="0" t="n">
        <v>0</v>
      </c>
    </row>
    <row r="645">
      <c r="A645" s="0" t="inlineStr">
        <is>
          <t>香港專櫃課</t>
        </is>
      </c>
      <c r="B645" s="0" t="inlineStr">
        <is>
          <t>P0031</t>
        </is>
      </c>
      <c r="C645" s="0" t="inlineStr">
        <is>
          <t>梁綽恩</t>
        </is>
      </c>
      <c r="D645" s="0" t="inlineStr">
        <is>
          <t>2026/03/14</t>
        </is>
      </c>
      <c r="E645" s="0" t="inlineStr">
        <is>
          <t>上班</t>
        </is>
      </c>
      <c r="F645" s="0" t="inlineStr">
        <is>
          <t>香港晚班</t>
        </is>
      </c>
      <c r="G645" s="0" t="inlineStr">
        <is>
          <t>19:00</t>
        </is>
      </c>
      <c r="H645" s="0" t="inlineStr">
        <is>
          <t>21:00</t>
        </is>
      </c>
      <c r="I645" s="0" t="n">
        <v>2</v>
      </c>
      <c r="J645" s="0" t="inlineStr">
        <is>
          <t>19:00</t>
        </is>
      </c>
      <c r="K645" s="0" t="inlineStr">
        <is>
          <t>21:00</t>
        </is>
      </c>
      <c r="L645" s="0" t="inlineStr">
        <is>
          <t>否</t>
        </is>
      </c>
    </row>
    <row r="646">
      <c r="A646" s="0" t="inlineStr">
        <is>
          <t>香港專櫃課</t>
        </is>
      </c>
      <c r="B646" s="0" t="inlineStr">
        <is>
          <t>P0031</t>
        </is>
      </c>
      <c r="C646" s="0" t="inlineStr">
        <is>
          <t>梁綽恩</t>
        </is>
      </c>
      <c r="D646" s="0" t="inlineStr">
        <is>
          <t>2026/03/15</t>
        </is>
      </c>
      <c r="E646" s="0" t="inlineStr">
        <is>
          <t>上班</t>
        </is>
      </c>
      <c r="F646" s="0" t="inlineStr">
        <is>
          <t>香港晚班</t>
        </is>
      </c>
      <c r="G646" s="0" t="inlineStr">
        <is>
          <t>18:00</t>
        </is>
      </c>
      <c r="H646" s="0" t="inlineStr">
        <is>
          <t>20:00</t>
        </is>
      </c>
      <c r="I646" s="0" t="n">
        <v>2</v>
      </c>
      <c r="J646" s="0" t="inlineStr">
        <is>
          <t>18:00</t>
        </is>
      </c>
      <c r="K646" s="0" t="inlineStr">
        <is>
          <t>20:00</t>
        </is>
      </c>
      <c r="L646" s="0" t="inlineStr">
        <is>
          <t>否</t>
        </is>
      </c>
    </row>
    <row r="647">
      <c r="A647" s="0" t="inlineStr">
        <is>
          <t>香港專櫃課</t>
        </is>
      </c>
      <c r="B647" s="0" t="inlineStr">
        <is>
          <t>P0031</t>
        </is>
      </c>
      <c r="C647" s="0" t="inlineStr">
        <is>
          <t>梁綽恩</t>
        </is>
      </c>
      <c r="D647" s="0" t="inlineStr">
        <is>
          <t>2026/03/16</t>
        </is>
      </c>
      <c r="I647" s="0" t="n">
        <v>0</v>
      </c>
    </row>
    <row r="648">
      <c r="A648" s="0" t="inlineStr">
        <is>
          <t>香港專櫃課</t>
        </is>
      </c>
      <c r="B648" s="0" t="inlineStr">
        <is>
          <t>P0031</t>
        </is>
      </c>
      <c r="C648" s="0" t="inlineStr">
        <is>
          <t>梁綽恩</t>
        </is>
      </c>
      <c r="D648" s="0" t="inlineStr">
        <is>
          <t>2026/03/17</t>
        </is>
      </c>
      <c r="I648" s="0" t="n">
        <v>0</v>
      </c>
    </row>
    <row r="649">
      <c r="A649" s="0" t="inlineStr">
        <is>
          <t>香港專櫃課</t>
        </is>
      </c>
      <c r="B649" s="0" t="inlineStr">
        <is>
          <t>P0031</t>
        </is>
      </c>
      <c r="C649" s="0" t="inlineStr">
        <is>
          <t>梁綽恩</t>
        </is>
      </c>
      <c r="D649" s="0" t="inlineStr">
        <is>
          <t>2026/03/18</t>
        </is>
      </c>
      <c r="I649" s="0" t="n">
        <v>0</v>
      </c>
    </row>
    <row r="650">
      <c r="A650" s="0" t="inlineStr">
        <is>
          <t>香港專櫃課</t>
        </is>
      </c>
      <c r="B650" s="0" t="inlineStr">
        <is>
          <t>P0031</t>
        </is>
      </c>
      <c r="C650" s="0" t="inlineStr">
        <is>
          <t>梁綽恩</t>
        </is>
      </c>
      <c r="D650" s="0" t="inlineStr">
        <is>
          <t>2026/03/19</t>
        </is>
      </c>
      <c r="E650" s="0" t="inlineStr">
        <is>
          <t>上班</t>
        </is>
      </c>
      <c r="F650" s="0" t="inlineStr">
        <is>
          <t>香港早班</t>
        </is>
      </c>
      <c r="G650" s="0" t="inlineStr">
        <is>
          <t>09:30</t>
        </is>
      </c>
      <c r="H650" s="0" t="inlineStr">
        <is>
          <t>16:30</t>
        </is>
      </c>
      <c r="I650" s="0" t="n">
        <v>7</v>
      </c>
      <c r="J650" s="0" t="inlineStr">
        <is>
          <t>09:30</t>
        </is>
      </c>
      <c r="K650" s="0" t="inlineStr">
        <is>
          <t>16:30</t>
        </is>
      </c>
      <c r="L650" s="0" t="inlineStr">
        <is>
          <t>否</t>
        </is>
      </c>
    </row>
    <row r="651">
      <c r="A651" s="0" t="inlineStr">
        <is>
          <t>香港專櫃課</t>
        </is>
      </c>
      <c r="B651" s="0" t="inlineStr">
        <is>
          <t>P0031</t>
        </is>
      </c>
      <c r="C651" s="0" t="inlineStr">
        <is>
          <t>梁綽恩</t>
        </is>
      </c>
      <c r="D651" s="0" t="inlineStr">
        <is>
          <t>2026/03/20</t>
        </is>
      </c>
      <c r="E651" s="0" t="inlineStr">
        <is>
          <t>上班</t>
        </is>
      </c>
      <c r="F651" s="0" t="inlineStr">
        <is>
          <t>香港早班</t>
        </is>
      </c>
      <c r="G651" s="0" t="inlineStr">
        <is>
          <t>09:30</t>
        </is>
      </c>
      <c r="H651" s="0" t="inlineStr">
        <is>
          <t>16:30</t>
        </is>
      </c>
      <c r="I651" s="0" t="n">
        <v>7</v>
      </c>
      <c r="J651" s="0" t="inlineStr">
        <is>
          <t>09:30</t>
        </is>
      </c>
      <c r="K651" s="0" t="inlineStr">
        <is>
          <t>16:30</t>
        </is>
      </c>
      <c r="L651" s="0" t="inlineStr">
        <is>
          <t>否</t>
        </is>
      </c>
    </row>
    <row r="652">
      <c r="A652" s="0" t="inlineStr">
        <is>
          <t>香港專櫃課</t>
        </is>
      </c>
      <c r="B652" s="0" t="inlineStr">
        <is>
          <t>P0031</t>
        </is>
      </c>
      <c r="C652" s="0" t="inlineStr">
        <is>
          <t>梁綽恩</t>
        </is>
      </c>
      <c r="D652" s="0" t="inlineStr">
        <is>
          <t>2026/03/21</t>
        </is>
      </c>
      <c r="E652" s="0" t="inlineStr">
        <is>
          <t>上班</t>
        </is>
      </c>
      <c r="F652" s="0" t="inlineStr">
        <is>
          <t>香港晚班</t>
        </is>
      </c>
      <c r="G652" s="0" t="inlineStr">
        <is>
          <t>16:00</t>
        </is>
      </c>
      <c r="H652" s="0" t="inlineStr">
        <is>
          <t>22:00</t>
        </is>
      </c>
      <c r="I652" s="0" t="n">
        <v>6</v>
      </c>
      <c r="J652" s="0" t="inlineStr">
        <is>
          <t>16:00</t>
        </is>
      </c>
      <c r="K652" s="0" t="inlineStr">
        <is>
          <t>22:00</t>
        </is>
      </c>
      <c r="L652" s="0" t="inlineStr">
        <is>
          <t>否</t>
        </is>
      </c>
    </row>
    <row r="653">
      <c r="A653" s="0" t="inlineStr">
        <is>
          <t>香港專櫃課</t>
        </is>
      </c>
      <c r="B653" s="0" t="inlineStr">
        <is>
          <t>P0031</t>
        </is>
      </c>
      <c r="C653" s="0" t="inlineStr">
        <is>
          <t>梁綽恩</t>
        </is>
      </c>
      <c r="D653" s="0" t="inlineStr">
        <is>
          <t>2026/03/22</t>
        </is>
      </c>
      <c r="E653" s="0" t="inlineStr">
        <is>
          <t>月休</t>
        </is>
      </c>
      <c r="I653" s="0" t="n">
        <v>0</v>
      </c>
    </row>
    <row r="654">
      <c r="A654" s="0" t="inlineStr">
        <is>
          <t>香港專櫃課</t>
        </is>
      </c>
      <c r="B654" s="0" t="inlineStr">
        <is>
          <t>P0031</t>
        </is>
      </c>
      <c r="C654" s="0" t="inlineStr">
        <is>
          <t>梁綽恩</t>
        </is>
      </c>
      <c r="D654" s="0" t="inlineStr">
        <is>
          <t>2026/03/23</t>
        </is>
      </c>
      <c r="E654" s="0" t="inlineStr">
        <is>
          <t>上班</t>
        </is>
      </c>
      <c r="F654" s="0" t="inlineStr">
        <is>
          <t>香港晚班</t>
        </is>
      </c>
      <c r="G654" s="0" t="inlineStr">
        <is>
          <t>16:00</t>
        </is>
      </c>
      <c r="H654" s="0" t="inlineStr">
        <is>
          <t>21:00</t>
        </is>
      </c>
      <c r="I654" s="0" t="n">
        <v>5</v>
      </c>
      <c r="J654" s="0" t="inlineStr">
        <is>
          <t>16:00</t>
        </is>
      </c>
      <c r="K654" s="0" t="inlineStr">
        <is>
          <t>21:00</t>
        </is>
      </c>
      <c r="L654" s="0" t="inlineStr">
        <is>
          <t>否</t>
        </is>
      </c>
    </row>
    <row r="655">
      <c r="A655" s="0" t="inlineStr">
        <is>
          <t>香港專櫃課</t>
        </is>
      </c>
      <c r="B655" s="0" t="inlineStr">
        <is>
          <t>P0031</t>
        </is>
      </c>
      <c r="C655" s="0" t="inlineStr">
        <is>
          <t>梁綽恩</t>
        </is>
      </c>
      <c r="D655" s="0" t="inlineStr">
        <is>
          <t>2026/03/24</t>
        </is>
      </c>
      <c r="E655" s="0" t="inlineStr">
        <is>
          <t>月休</t>
        </is>
      </c>
      <c r="I655" s="0" t="n">
        <v>0</v>
      </c>
    </row>
    <row r="656">
      <c r="A656" s="0" t="inlineStr">
        <is>
          <t>香港專櫃課</t>
        </is>
      </c>
      <c r="B656" s="0" t="inlineStr">
        <is>
          <t>P0031</t>
        </is>
      </c>
      <c r="C656" s="0" t="inlineStr">
        <is>
          <t>梁綽恩</t>
        </is>
      </c>
      <c r="D656" s="0" t="inlineStr">
        <is>
          <t>2026/03/25</t>
        </is>
      </c>
      <c r="E656" s="0" t="inlineStr">
        <is>
          <t>上班</t>
        </is>
      </c>
      <c r="F656" s="0" t="inlineStr">
        <is>
          <t>香港早班</t>
        </is>
      </c>
      <c r="G656" s="0" t="inlineStr">
        <is>
          <t>10:30</t>
        </is>
      </c>
      <c r="H656" s="0" t="inlineStr">
        <is>
          <t>16:30</t>
        </is>
      </c>
      <c r="I656" s="0" t="n">
        <v>6</v>
      </c>
      <c r="J656" s="0" t="inlineStr">
        <is>
          <t>10:30</t>
        </is>
      </c>
      <c r="K656" s="0" t="inlineStr">
        <is>
          <t>16:30</t>
        </is>
      </c>
      <c r="L656" s="0" t="inlineStr">
        <is>
          <t>否</t>
        </is>
      </c>
    </row>
    <row r="657">
      <c r="A657" s="0" t="inlineStr">
        <is>
          <t>香港專櫃課</t>
        </is>
      </c>
      <c r="B657" s="0" t="inlineStr">
        <is>
          <t>P0031</t>
        </is>
      </c>
      <c r="C657" s="0" t="inlineStr">
        <is>
          <t>梁綽恩</t>
        </is>
      </c>
      <c r="D657" s="0" t="inlineStr">
        <is>
          <t>2026/03/26</t>
        </is>
      </c>
      <c r="E657" s="0" t="inlineStr">
        <is>
          <t>月休</t>
        </is>
      </c>
      <c r="I657" s="0" t="n">
        <v>0</v>
      </c>
    </row>
    <row r="658">
      <c r="A658" s="0" t="inlineStr">
        <is>
          <t>香港專櫃課</t>
        </is>
      </c>
      <c r="B658" s="0" t="inlineStr">
        <is>
          <t>P0031</t>
        </is>
      </c>
      <c r="C658" s="0" t="inlineStr">
        <is>
          <t>梁綽恩</t>
        </is>
      </c>
      <c r="D658" s="0" t="inlineStr">
        <is>
          <t>2026/03/27</t>
        </is>
      </c>
      <c r="E658" s="0" t="inlineStr">
        <is>
          <t>月休</t>
        </is>
      </c>
      <c r="I658" s="0" t="n">
        <v>0</v>
      </c>
    </row>
    <row r="659">
      <c r="A659" s="0" t="inlineStr">
        <is>
          <t>香港專櫃課</t>
        </is>
      </c>
      <c r="B659" s="0" t="inlineStr">
        <is>
          <t>P0031</t>
        </is>
      </c>
      <c r="C659" s="0" t="inlineStr">
        <is>
          <t>梁綽恩</t>
        </is>
      </c>
      <c r="D659" s="0" t="inlineStr">
        <is>
          <t>2026/03/28</t>
        </is>
      </c>
      <c r="E659" s="0" t="inlineStr">
        <is>
          <t>月休</t>
        </is>
      </c>
      <c r="I659" s="0" t="n">
        <v>0</v>
      </c>
    </row>
    <row r="660">
      <c r="A660" s="0" t="inlineStr">
        <is>
          <t>香港專櫃課</t>
        </is>
      </c>
      <c r="B660" s="0" t="inlineStr">
        <is>
          <t>P0031</t>
        </is>
      </c>
      <c r="C660" s="0" t="inlineStr">
        <is>
          <t>梁綽恩</t>
        </is>
      </c>
      <c r="D660" s="0" t="inlineStr">
        <is>
          <t>2026/03/29</t>
        </is>
      </c>
      <c r="E660" s="0" t="inlineStr">
        <is>
          <t>月休</t>
        </is>
      </c>
      <c r="I660" s="0" t="n">
        <v>0</v>
      </c>
    </row>
    <row r="661">
      <c r="A661" s="0" t="inlineStr">
        <is>
          <t>香港專櫃課</t>
        </is>
      </c>
      <c r="B661" s="0" t="inlineStr">
        <is>
          <t>P0031</t>
        </is>
      </c>
      <c r="C661" s="0" t="inlineStr">
        <is>
          <t>梁綽恩</t>
        </is>
      </c>
      <c r="D661" s="0" t="inlineStr">
        <is>
          <t>2026/03/30</t>
        </is>
      </c>
      <c r="E661" s="0" t="inlineStr">
        <is>
          <t>月休</t>
        </is>
      </c>
      <c r="I661" s="0" t="n">
        <v>0</v>
      </c>
    </row>
    <row r="662">
      <c r="A662" s="0" t="inlineStr">
        <is>
          <t>香港專櫃課</t>
        </is>
      </c>
      <c r="B662" s="0" t="inlineStr">
        <is>
          <t>P0031</t>
        </is>
      </c>
      <c r="C662" s="0" t="inlineStr">
        <is>
          <t>梁綽恩</t>
        </is>
      </c>
      <c r="D662" s="0" t="inlineStr">
        <is>
          <t>2026/03/31</t>
        </is>
      </c>
      <c r="E662" s="0" t="inlineStr">
        <is>
          <t>上班</t>
        </is>
      </c>
      <c r="F662" s="0" t="inlineStr">
        <is>
          <t>香港晚班</t>
        </is>
      </c>
      <c r="G662" s="0" t="inlineStr">
        <is>
          <t>16:00</t>
        </is>
      </c>
      <c r="H662" s="0" t="inlineStr">
        <is>
          <t>21:00</t>
        </is>
      </c>
      <c r="I662" s="0" t="n">
        <v>5</v>
      </c>
      <c r="J662" s="0" t="inlineStr">
        <is>
          <t>16:00</t>
        </is>
      </c>
      <c r="K662" s="0" t="inlineStr">
        <is>
          <t>21:00</t>
        </is>
      </c>
      <c r="L662" s="0" t="inlineStr">
        <is>
          <t>否</t>
        </is>
      </c>
    </row>
    <row r="663">
      <c r="A663" s="0" t="inlineStr">
        <is>
          <t>香港專櫃課</t>
        </is>
      </c>
      <c r="B663" s="0" t="inlineStr">
        <is>
          <t>P0031</t>
        </is>
      </c>
      <c r="C663" s="0" t="inlineStr">
        <is>
          <t>梁綽恩</t>
        </is>
      </c>
      <c r="D663" s="0" t="inlineStr">
        <is>
          <t>2026/04/01</t>
        </is>
      </c>
      <c r="E663" s="0" t="inlineStr">
        <is>
          <t>月休</t>
        </is>
      </c>
      <c r="I663" s="0" t="n">
        <v>0</v>
      </c>
    </row>
    <row r="664">
      <c r="A664" s="0" t="inlineStr">
        <is>
          <t>香港專櫃課</t>
        </is>
      </c>
      <c r="B664" s="0" t="inlineStr">
        <is>
          <t>P0031</t>
        </is>
      </c>
      <c r="C664" s="0" t="inlineStr">
        <is>
          <t>梁綽恩</t>
        </is>
      </c>
      <c r="D664" s="0" t="inlineStr">
        <is>
          <t>2026/04/02</t>
        </is>
      </c>
      <c r="E664" s="0" t="inlineStr">
        <is>
          <t>上班</t>
        </is>
      </c>
      <c r="F664" s="0" t="inlineStr">
        <is>
          <t>香港早班</t>
        </is>
      </c>
      <c r="G664" s="0" t="inlineStr">
        <is>
          <t>10:30</t>
        </is>
      </c>
      <c r="H664" s="0" t="inlineStr">
        <is>
          <t>16:30</t>
        </is>
      </c>
      <c r="I664" s="0" t="n">
        <v>6</v>
      </c>
      <c r="J664" s="0" t="inlineStr">
        <is>
          <t>10:30</t>
        </is>
      </c>
      <c r="K664" s="0" t="inlineStr">
        <is>
          <t>16:30</t>
        </is>
      </c>
      <c r="L664" s="0" t="inlineStr">
        <is>
          <t>否</t>
        </is>
      </c>
    </row>
    <row r="665">
      <c r="A665" s="0" t="inlineStr">
        <is>
          <t>香港專櫃課</t>
        </is>
      </c>
      <c r="B665" s="0" t="inlineStr">
        <is>
          <t>P0031</t>
        </is>
      </c>
      <c r="C665" s="0" t="inlineStr">
        <is>
          <t>梁綽恩</t>
        </is>
      </c>
      <c r="D665" s="0" t="inlineStr">
        <is>
          <t>2026/04/03</t>
        </is>
      </c>
      <c r="E665" s="0" t="inlineStr">
        <is>
          <t>國定假日</t>
        </is>
      </c>
      <c r="I665" s="0" t="n">
        <v>0</v>
      </c>
    </row>
    <row r="666">
      <c r="A666" s="0" t="inlineStr">
        <is>
          <t>香港專櫃課</t>
        </is>
      </c>
      <c r="B666" s="0" t="inlineStr">
        <is>
          <t>P0031</t>
        </is>
      </c>
      <c r="C666" s="0" t="inlineStr">
        <is>
          <t>梁綽恩</t>
        </is>
      </c>
      <c r="D666" s="0" t="inlineStr">
        <is>
          <t>2026/04/04</t>
        </is>
      </c>
      <c r="E666" s="0" t="inlineStr">
        <is>
          <t>上班</t>
        </is>
      </c>
      <c r="F666" s="0" t="inlineStr">
        <is>
          <t>香港晚班</t>
        </is>
      </c>
      <c r="G666" s="0" t="inlineStr">
        <is>
          <t>16:00</t>
        </is>
      </c>
      <c r="H666" s="0" t="inlineStr">
        <is>
          <t>21:00</t>
        </is>
      </c>
      <c r="I666" s="0" t="n">
        <v>5</v>
      </c>
      <c r="J666" s="0" t="inlineStr">
        <is>
          <t>16:00</t>
        </is>
      </c>
      <c r="K666" s="0" t="inlineStr">
        <is>
          <t>21:00</t>
        </is>
      </c>
      <c r="L666" s="0" t="inlineStr">
        <is>
          <t>否</t>
        </is>
      </c>
    </row>
    <row r="667">
      <c r="A667" s="0" t="inlineStr">
        <is>
          <t>香港專櫃課</t>
        </is>
      </c>
      <c r="B667" s="0" t="inlineStr">
        <is>
          <t>P0031</t>
        </is>
      </c>
      <c r="C667" s="0" t="inlineStr">
        <is>
          <t>梁綽恩</t>
        </is>
      </c>
      <c r="D667" s="0" t="inlineStr">
        <is>
          <t>2026/04/05</t>
        </is>
      </c>
      <c r="E667" s="0" t="inlineStr">
        <is>
          <t>月休</t>
        </is>
      </c>
      <c r="I667" s="0" t="n">
        <v>0</v>
      </c>
    </row>
    <row r="668">
      <c r="A668" s="0" t="inlineStr">
        <is>
          <t>香港專櫃課</t>
        </is>
      </c>
      <c r="B668" s="0" t="inlineStr">
        <is>
          <t>P0031</t>
        </is>
      </c>
      <c r="C668" s="0" t="inlineStr">
        <is>
          <t>梁綽恩</t>
        </is>
      </c>
      <c r="D668" s="0" t="inlineStr">
        <is>
          <t>2026/04/06</t>
        </is>
      </c>
      <c r="E668" s="0" t="inlineStr">
        <is>
          <t>國定假日</t>
        </is>
      </c>
      <c r="I668" s="0" t="n">
        <v>0</v>
      </c>
    </row>
    <row r="669">
      <c r="A669" s="0" t="inlineStr">
        <is>
          <t>香港專櫃課</t>
        </is>
      </c>
      <c r="B669" s="0" t="inlineStr">
        <is>
          <t>P0031</t>
        </is>
      </c>
      <c r="C669" s="0" t="inlineStr">
        <is>
          <t>梁綽恩</t>
        </is>
      </c>
      <c r="D669" s="0" t="inlineStr">
        <is>
          <t>2026/04/07</t>
        </is>
      </c>
      <c r="E669" s="0" t="inlineStr">
        <is>
          <t>上班</t>
        </is>
      </c>
      <c r="F669" s="0" t="inlineStr">
        <is>
          <t>香港ALL班</t>
        </is>
      </c>
      <c r="G669" s="0" t="inlineStr">
        <is>
          <t>10:30</t>
        </is>
      </c>
      <c r="H669" s="0" t="inlineStr">
        <is>
          <t>21:00</t>
        </is>
      </c>
      <c r="I669" s="0" t="n">
        <v>10.5</v>
      </c>
      <c r="J669" s="0" t="inlineStr">
        <is>
          <t>10:30</t>
        </is>
      </c>
      <c r="K669" s="0" t="inlineStr">
        <is>
          <t>21:00</t>
        </is>
      </c>
      <c r="L669" s="0" t="inlineStr">
        <is>
          <t>否</t>
        </is>
      </c>
    </row>
    <row r="670">
      <c r="A670" s="0" t="inlineStr">
        <is>
          <t>香港專櫃課</t>
        </is>
      </c>
      <c r="B670" s="0" t="inlineStr">
        <is>
          <t>P0031</t>
        </is>
      </c>
      <c r="C670" s="0" t="inlineStr">
        <is>
          <t>梁綽恩</t>
        </is>
      </c>
      <c r="D670" s="0" t="inlineStr">
        <is>
          <t>2026/04/08</t>
        </is>
      </c>
      <c r="E670" s="0" t="inlineStr">
        <is>
          <t>上班</t>
        </is>
      </c>
      <c r="F670" s="0" t="inlineStr">
        <is>
          <t>香港晚班</t>
        </is>
      </c>
      <c r="G670" s="0" t="inlineStr">
        <is>
          <t>16:00</t>
        </is>
      </c>
      <c r="H670" s="0" t="inlineStr">
        <is>
          <t>21:00</t>
        </is>
      </c>
      <c r="I670" s="0" t="n">
        <v>5</v>
      </c>
      <c r="J670" s="0" t="inlineStr">
        <is>
          <t>16:00</t>
        </is>
      </c>
      <c r="K670" s="0" t="inlineStr">
        <is>
          <t>21:00</t>
        </is>
      </c>
      <c r="L670" s="0" t="inlineStr">
        <is>
          <t>否</t>
        </is>
      </c>
    </row>
    <row r="671">
      <c r="A671" s="0" t="inlineStr">
        <is>
          <t>香港專櫃課</t>
        </is>
      </c>
      <c r="B671" s="0" t="inlineStr">
        <is>
          <t>P0031</t>
        </is>
      </c>
      <c r="C671" s="0" t="inlineStr">
        <is>
          <t>梁綽恩</t>
        </is>
      </c>
      <c r="D671" s="0" t="inlineStr">
        <is>
          <t>2026/04/09</t>
        </is>
      </c>
      <c r="E671" s="0" t="inlineStr">
        <is>
          <t>月休</t>
        </is>
      </c>
      <c r="I671" s="0" t="n">
        <v>0</v>
      </c>
    </row>
    <row r="672">
      <c r="A672" s="0" t="inlineStr">
        <is>
          <t>香港專櫃課</t>
        </is>
      </c>
      <c r="B672" s="0" t="inlineStr">
        <is>
          <t>P0031</t>
        </is>
      </c>
      <c r="C672" s="0" t="inlineStr">
        <is>
          <t>梁綽恩</t>
        </is>
      </c>
      <c r="D672" s="0" t="inlineStr">
        <is>
          <t>2026/04/10</t>
        </is>
      </c>
      <c r="E672" s="0" t="inlineStr">
        <is>
          <t>月休</t>
        </is>
      </c>
      <c r="I672" s="0" t="n">
        <v>0</v>
      </c>
    </row>
    <row r="673">
      <c r="A673" s="0" t="inlineStr">
        <is>
          <t>香港專櫃課</t>
        </is>
      </c>
      <c r="B673" s="0" t="inlineStr">
        <is>
          <t>P0031</t>
        </is>
      </c>
      <c r="C673" s="0" t="inlineStr">
        <is>
          <t>梁綽恩</t>
        </is>
      </c>
      <c r="D673" s="0" t="inlineStr">
        <is>
          <t>2026/04/11</t>
        </is>
      </c>
      <c r="E673" s="0" t="inlineStr">
        <is>
          <t>月休</t>
        </is>
      </c>
      <c r="I673" s="0" t="n">
        <v>0</v>
      </c>
    </row>
    <row r="674">
      <c r="A674" s="0" t="inlineStr">
        <is>
          <t>香港專櫃課</t>
        </is>
      </c>
      <c r="B674" s="0" t="inlineStr">
        <is>
          <t>P0031</t>
        </is>
      </c>
      <c r="C674" s="0" t="inlineStr">
        <is>
          <t>梁綽恩</t>
        </is>
      </c>
      <c r="D674" s="0" t="inlineStr">
        <is>
          <t>2026/04/12</t>
        </is>
      </c>
      <c r="E674" s="0" t="inlineStr">
        <is>
          <t>上班</t>
        </is>
      </c>
      <c r="F674" s="0" t="inlineStr">
        <is>
          <t>香港早班</t>
        </is>
      </c>
      <c r="G674" s="0" t="inlineStr">
        <is>
          <t>10:30</t>
        </is>
      </c>
      <c r="H674" s="0" t="inlineStr">
        <is>
          <t>16:30</t>
        </is>
      </c>
      <c r="I674" s="0" t="n">
        <v>6</v>
      </c>
      <c r="J674" s="0" t="inlineStr">
        <is>
          <t>10:30</t>
        </is>
      </c>
      <c r="K674" s="0" t="inlineStr">
        <is>
          <t>16:30</t>
        </is>
      </c>
      <c r="L674" s="0" t="inlineStr">
        <is>
          <t>否</t>
        </is>
      </c>
    </row>
    <row r="675">
      <c r="A675" s="0" t="inlineStr">
        <is>
          <t>香港專櫃課</t>
        </is>
      </c>
      <c r="B675" s="0" t="inlineStr">
        <is>
          <t>P0031</t>
        </is>
      </c>
      <c r="C675" s="0" t="inlineStr">
        <is>
          <t>梁綽恩</t>
        </is>
      </c>
      <c r="D675" s="0" t="inlineStr">
        <is>
          <t>2026/04/13</t>
        </is>
      </c>
      <c r="E675" s="0" t="inlineStr">
        <is>
          <t>上班</t>
        </is>
      </c>
      <c r="F675" s="0" t="inlineStr">
        <is>
          <t>香港早班</t>
        </is>
      </c>
      <c r="G675" s="0" t="inlineStr">
        <is>
          <t>10:30</t>
        </is>
      </c>
      <c r="H675" s="0" t="inlineStr">
        <is>
          <t>18:00</t>
        </is>
      </c>
      <c r="I675" s="0" t="n">
        <v>7.5</v>
      </c>
      <c r="J675" s="0" t="inlineStr">
        <is>
          <t>10:30</t>
        </is>
      </c>
      <c r="K675" s="0" t="inlineStr">
        <is>
          <t>18:00</t>
        </is>
      </c>
      <c r="L675" s="0" t="inlineStr">
        <is>
          <t>否</t>
        </is>
      </c>
    </row>
    <row r="676">
      <c r="A676" s="0" t="inlineStr">
        <is>
          <t>香港專櫃課</t>
        </is>
      </c>
      <c r="B676" s="0" t="inlineStr">
        <is>
          <t>P0031</t>
        </is>
      </c>
      <c r="C676" s="0" t="inlineStr">
        <is>
          <t>梁綽恩</t>
        </is>
      </c>
      <c r="D676" s="0" t="inlineStr">
        <is>
          <t>2026/04/14</t>
        </is>
      </c>
      <c r="E676" s="0" t="inlineStr">
        <is>
          <t>上班</t>
        </is>
      </c>
      <c r="F676" s="0" t="inlineStr">
        <is>
          <t>特殊晚班</t>
        </is>
      </c>
      <c r="G676" s="0" t="inlineStr">
        <is>
          <t>14:30</t>
        </is>
      </c>
      <c r="H676" s="0" t="inlineStr">
        <is>
          <t>19:30</t>
        </is>
      </c>
      <c r="I676" s="0" t="n">
        <v>5</v>
      </c>
      <c r="J676" s="0" t="inlineStr">
        <is>
          <t>14:30</t>
        </is>
      </c>
      <c r="K676" s="0" t="inlineStr">
        <is>
          <t>19:30</t>
        </is>
      </c>
      <c r="L676" s="0" t="inlineStr">
        <is>
          <t>否</t>
        </is>
      </c>
    </row>
    <row r="677">
      <c r="A677" s="0" t="inlineStr">
        <is>
          <t>香港專櫃課</t>
        </is>
      </c>
      <c r="B677" s="0" t="inlineStr">
        <is>
          <t>P0031</t>
        </is>
      </c>
      <c r="C677" s="0" t="inlineStr">
        <is>
          <t>梁綽恩</t>
        </is>
      </c>
      <c r="D677" s="0" t="inlineStr">
        <is>
          <t>2026/04/15</t>
        </is>
      </c>
      <c r="E677" s="0" t="inlineStr">
        <is>
          <t>月休</t>
        </is>
      </c>
      <c r="I677" s="0" t="n">
        <v>0</v>
      </c>
    </row>
    <row r="678">
      <c r="A678" s="0" t="inlineStr">
        <is>
          <t>香港專櫃課</t>
        </is>
      </c>
      <c r="B678" s="0" t="inlineStr">
        <is>
          <t>P0031</t>
        </is>
      </c>
      <c r="C678" s="0" t="inlineStr">
        <is>
          <t>梁綽恩</t>
        </is>
      </c>
      <c r="D678" s="0" t="inlineStr">
        <is>
          <t>2026/04/16</t>
        </is>
      </c>
      <c r="E678" s="0" t="inlineStr">
        <is>
          <t>上班</t>
        </is>
      </c>
      <c r="F678" s="0" t="inlineStr">
        <is>
          <t>香港早班</t>
        </is>
      </c>
      <c r="G678" s="0" t="inlineStr">
        <is>
          <t>10:30</t>
        </is>
      </c>
      <c r="H678" s="0" t="inlineStr">
        <is>
          <t>16:30</t>
        </is>
      </c>
      <c r="I678" s="0" t="n">
        <v>6</v>
      </c>
      <c r="J678" s="0" t="inlineStr">
        <is>
          <t>10:30</t>
        </is>
      </c>
      <c r="K678" s="0" t="inlineStr">
        <is>
          <t>16:30</t>
        </is>
      </c>
      <c r="L678" s="0" t="inlineStr">
        <is>
          <t>否</t>
        </is>
      </c>
    </row>
    <row r="679">
      <c r="A679" s="0" t="inlineStr">
        <is>
          <t>香港專櫃課</t>
        </is>
      </c>
      <c r="B679" s="0" t="inlineStr">
        <is>
          <t>P0031</t>
        </is>
      </c>
      <c r="C679" s="0" t="inlineStr">
        <is>
          <t>梁綽恩</t>
        </is>
      </c>
      <c r="D679" s="0" t="inlineStr">
        <is>
          <t>2026/04/17</t>
        </is>
      </c>
      <c r="E679" s="0" t="inlineStr">
        <is>
          <t>上班</t>
        </is>
      </c>
      <c r="F679" s="0" t="inlineStr">
        <is>
          <t>香港早班</t>
        </is>
      </c>
      <c r="G679" s="0" t="inlineStr">
        <is>
          <t>10:30</t>
        </is>
      </c>
      <c r="H679" s="0" t="inlineStr">
        <is>
          <t>16:30</t>
        </is>
      </c>
      <c r="I679" s="0" t="n">
        <v>6</v>
      </c>
      <c r="J679" s="0" t="inlineStr">
        <is>
          <t>10:30</t>
        </is>
      </c>
      <c r="K679" s="0" t="inlineStr">
        <is>
          <t>16:30</t>
        </is>
      </c>
      <c r="L679" s="0" t="inlineStr">
        <is>
          <t>否</t>
        </is>
      </c>
    </row>
    <row r="680">
      <c r="A680" s="0" t="inlineStr">
        <is>
          <t>香港專櫃課</t>
        </is>
      </c>
      <c r="B680" s="0" t="inlineStr">
        <is>
          <t>P0031</t>
        </is>
      </c>
      <c r="C680" s="0" t="inlineStr">
        <is>
          <t>梁綽恩</t>
        </is>
      </c>
      <c r="D680" s="0" t="inlineStr">
        <is>
          <t>2026/04/18</t>
        </is>
      </c>
      <c r="E680" s="0" t="inlineStr">
        <is>
          <t>月休</t>
        </is>
      </c>
      <c r="I680" s="0" t="n">
        <v>0</v>
      </c>
    </row>
    <row r="681">
      <c r="A681" s="0" t="inlineStr">
        <is>
          <t>香港專櫃課</t>
        </is>
      </c>
      <c r="B681" s="0" t="inlineStr">
        <is>
          <t>P0031</t>
        </is>
      </c>
      <c r="C681" s="0" t="inlineStr">
        <is>
          <t>梁綽恩</t>
        </is>
      </c>
      <c r="D681" s="0" t="inlineStr">
        <is>
          <t>2026/04/19</t>
        </is>
      </c>
      <c r="E681" s="0" t="inlineStr">
        <is>
          <t>月休</t>
        </is>
      </c>
      <c r="I681" s="0" t="n">
        <v>0</v>
      </c>
    </row>
    <row r="682">
      <c r="A682" s="0" t="inlineStr">
        <is>
          <t>香港專櫃課</t>
        </is>
      </c>
      <c r="B682" s="0" t="inlineStr">
        <is>
          <t>P0031</t>
        </is>
      </c>
      <c r="C682" s="0" t="inlineStr">
        <is>
          <t>梁綽恩</t>
        </is>
      </c>
      <c r="D682" s="0" t="inlineStr">
        <is>
          <t>2026/04/20</t>
        </is>
      </c>
      <c r="E682" s="0" t="inlineStr">
        <is>
          <t>上班</t>
        </is>
      </c>
      <c r="F682" s="0" t="inlineStr">
        <is>
          <t>香港晚班</t>
        </is>
      </c>
      <c r="G682" s="0" t="inlineStr">
        <is>
          <t>16:00</t>
        </is>
      </c>
      <c r="H682" s="0" t="inlineStr">
        <is>
          <t>21:00</t>
        </is>
      </c>
      <c r="I682" s="0" t="n">
        <v>5</v>
      </c>
      <c r="J682" s="0" t="inlineStr">
        <is>
          <t>16:00</t>
        </is>
      </c>
      <c r="K682" s="0" t="inlineStr">
        <is>
          <t>21:00</t>
        </is>
      </c>
      <c r="L682" s="0" t="inlineStr">
        <is>
          <t>否</t>
        </is>
      </c>
    </row>
    <row r="683">
      <c r="A683" s="0" t="inlineStr">
        <is>
          <t>香港專櫃課</t>
        </is>
      </c>
      <c r="B683" s="0" t="inlineStr">
        <is>
          <t>P0031</t>
        </is>
      </c>
      <c r="C683" s="0" t="inlineStr">
        <is>
          <t>梁綽恩</t>
        </is>
      </c>
      <c r="D683" s="0" t="inlineStr">
        <is>
          <t>2026/04/21</t>
        </is>
      </c>
      <c r="E683" s="0" t="inlineStr">
        <is>
          <t>上班</t>
        </is>
      </c>
      <c r="F683" s="0" t="inlineStr">
        <is>
          <t>香港晚班</t>
        </is>
      </c>
      <c r="G683" s="0" t="inlineStr">
        <is>
          <t>16:00</t>
        </is>
      </c>
      <c r="H683" s="0" t="inlineStr">
        <is>
          <t>21:00</t>
        </is>
      </c>
      <c r="I683" s="0" t="n">
        <v>5</v>
      </c>
      <c r="J683" s="0" t="inlineStr">
        <is>
          <t>16:00</t>
        </is>
      </c>
      <c r="K683" s="0" t="inlineStr">
        <is>
          <t>21:00</t>
        </is>
      </c>
      <c r="L683" s="0" t="inlineStr">
        <is>
          <t>否</t>
        </is>
      </c>
    </row>
    <row r="684">
      <c r="A684" s="0" t="inlineStr">
        <is>
          <t>香港專櫃課</t>
        </is>
      </c>
      <c r="B684" s="0" t="inlineStr">
        <is>
          <t>P0031</t>
        </is>
      </c>
      <c r="C684" s="0" t="inlineStr">
        <is>
          <t>梁綽恩</t>
        </is>
      </c>
      <c r="D684" s="0" t="inlineStr">
        <is>
          <t>2026/04/22</t>
        </is>
      </c>
      <c r="E684" s="0" t="inlineStr">
        <is>
          <t>月休</t>
        </is>
      </c>
      <c r="I684" s="0" t="n">
        <v>0</v>
      </c>
    </row>
    <row r="685">
      <c r="A685" s="0" t="inlineStr">
        <is>
          <t>香港專櫃課</t>
        </is>
      </c>
      <c r="B685" s="0" t="inlineStr">
        <is>
          <t>P0031</t>
        </is>
      </c>
      <c r="C685" s="0" t="inlineStr">
        <is>
          <t>梁綽恩</t>
        </is>
      </c>
      <c r="D685" s="0" t="inlineStr">
        <is>
          <t>2026/04/23</t>
        </is>
      </c>
      <c r="E685" s="0" t="inlineStr">
        <is>
          <t>月休</t>
        </is>
      </c>
      <c r="I685" s="0" t="n">
        <v>0</v>
      </c>
    </row>
    <row r="686">
      <c r="A686" s="0" t="inlineStr">
        <is>
          <t>香港專櫃課</t>
        </is>
      </c>
      <c r="B686" s="0" t="inlineStr">
        <is>
          <t>P0031</t>
        </is>
      </c>
      <c r="C686" s="0" t="inlineStr">
        <is>
          <t>梁綽恩</t>
        </is>
      </c>
      <c r="D686" s="0" t="inlineStr">
        <is>
          <t>2026/04/24</t>
        </is>
      </c>
      <c r="E686" s="0" t="inlineStr">
        <is>
          <t>月休</t>
        </is>
      </c>
      <c r="I686" s="0" t="n">
        <v>0</v>
      </c>
    </row>
    <row r="687">
      <c r="A687" s="0" t="inlineStr">
        <is>
          <t>香港專櫃課</t>
        </is>
      </c>
      <c r="B687" s="0" t="inlineStr">
        <is>
          <t>P0031</t>
        </is>
      </c>
      <c r="C687" s="0" t="inlineStr">
        <is>
          <t>梁綽恩</t>
        </is>
      </c>
      <c r="D687" s="0" t="inlineStr">
        <is>
          <t>2026/04/25</t>
        </is>
      </c>
      <c r="E687" s="0" t="inlineStr">
        <is>
          <t>月休</t>
        </is>
      </c>
      <c r="I687" s="0" t="n">
        <v>0</v>
      </c>
    </row>
    <row r="688">
      <c r="A688" s="0" t="inlineStr">
        <is>
          <t>香港專櫃課</t>
        </is>
      </c>
      <c r="B688" s="0" t="inlineStr">
        <is>
          <t>P0031</t>
        </is>
      </c>
      <c r="C688" s="0" t="inlineStr">
        <is>
          <t>梁綽恩</t>
        </is>
      </c>
      <c r="D688" s="0" t="inlineStr">
        <is>
          <t>2026/04/26</t>
        </is>
      </c>
      <c r="E688" s="0" t="inlineStr">
        <is>
          <t>月休</t>
        </is>
      </c>
      <c r="I688" s="0" t="n">
        <v>0</v>
      </c>
    </row>
    <row r="689">
      <c r="A689" s="0" t="inlineStr">
        <is>
          <t>香港專櫃課</t>
        </is>
      </c>
      <c r="B689" s="0" t="inlineStr">
        <is>
          <t>P0031</t>
        </is>
      </c>
      <c r="C689" s="0" t="inlineStr">
        <is>
          <t>梁綽恩</t>
        </is>
      </c>
      <c r="D689" s="0" t="inlineStr">
        <is>
          <t>2026/04/27</t>
        </is>
      </c>
      <c r="E689" s="0" t="inlineStr">
        <is>
          <t>月休</t>
        </is>
      </c>
      <c r="I689" s="0" t="n">
        <v>0</v>
      </c>
    </row>
    <row r="690">
      <c r="A690" s="0" t="inlineStr">
        <is>
          <t>香港專櫃課</t>
        </is>
      </c>
      <c r="B690" s="0" t="inlineStr">
        <is>
          <t>P0031</t>
        </is>
      </c>
      <c r="C690" s="0" t="inlineStr">
        <is>
          <t>梁綽恩</t>
        </is>
      </c>
      <c r="D690" s="0" t="inlineStr">
        <is>
          <t>2026/04/28</t>
        </is>
      </c>
      <c r="E690" s="0" t="inlineStr">
        <is>
          <t>月休</t>
        </is>
      </c>
      <c r="I690" s="0" t="n">
        <v>0</v>
      </c>
    </row>
    <row r="691">
      <c r="A691" s="0" t="inlineStr">
        <is>
          <t>香港專櫃課</t>
        </is>
      </c>
      <c r="B691" s="0" t="inlineStr">
        <is>
          <t>P0031</t>
        </is>
      </c>
      <c r="C691" s="0" t="inlineStr">
        <is>
          <t>梁綽恩</t>
        </is>
      </c>
      <c r="D691" s="0" t="inlineStr">
        <is>
          <t>2026/04/29</t>
        </is>
      </c>
      <c r="E691" s="0" t="inlineStr">
        <is>
          <t>上班</t>
        </is>
      </c>
      <c r="F691" s="0" t="inlineStr">
        <is>
          <t>香港晚班</t>
        </is>
      </c>
      <c r="G691" s="0" t="inlineStr">
        <is>
          <t>16:00</t>
        </is>
      </c>
      <c r="H691" s="0" t="inlineStr">
        <is>
          <t>21:00</t>
        </is>
      </c>
      <c r="I691" s="0" t="n">
        <v>5</v>
      </c>
      <c r="J691" s="0" t="inlineStr">
        <is>
          <t>16:00</t>
        </is>
      </c>
      <c r="K691" s="0" t="inlineStr">
        <is>
          <t>21:00</t>
        </is>
      </c>
      <c r="L691" s="0" t="inlineStr">
        <is>
          <t>否</t>
        </is>
      </c>
    </row>
    <row r="692">
      <c r="A692" s="0" t="inlineStr">
        <is>
          <t>香港專櫃課</t>
        </is>
      </c>
      <c r="B692" s="0" t="inlineStr">
        <is>
          <t>P0031</t>
        </is>
      </c>
      <c r="C692" s="0" t="inlineStr">
        <is>
          <t>梁綽恩</t>
        </is>
      </c>
      <c r="D692" s="0" t="inlineStr">
        <is>
          <t>2026/04/30</t>
        </is>
      </c>
      <c r="E692" s="0" t="inlineStr">
        <is>
          <t>月休</t>
        </is>
      </c>
      <c r="I692" s="0" t="n">
        <v>0</v>
      </c>
    </row>
    <row r="693">
      <c r="A693" s="0" t="inlineStr">
        <is>
          <t>香港專櫃課</t>
        </is>
      </c>
      <c r="B693" s="0" t="inlineStr">
        <is>
          <t>P0031</t>
        </is>
      </c>
      <c r="C693" s="0" t="inlineStr">
        <is>
          <t>梁綽恩</t>
        </is>
      </c>
      <c r="D693" s="0" t="inlineStr">
        <is>
          <t>2026/05/01</t>
        </is>
      </c>
      <c r="E693" s="0" t="inlineStr">
        <is>
          <t>上班</t>
        </is>
      </c>
      <c r="F693" s="0" t="inlineStr">
        <is>
          <t>香港ALL班</t>
        </is>
      </c>
      <c r="G693" s="0" t="inlineStr">
        <is>
          <t>10:30</t>
        </is>
      </c>
      <c r="H693" s="0" t="inlineStr">
        <is>
          <t>21:00</t>
        </is>
      </c>
      <c r="I693" s="0" t="n">
        <v>10.5</v>
      </c>
      <c r="J693" s="0" t="inlineStr">
        <is>
          <t>10:30</t>
        </is>
      </c>
      <c r="K693" s="0" t="inlineStr">
        <is>
          <t>21:00</t>
        </is>
      </c>
      <c r="L693" s="0" t="inlineStr">
        <is>
          <t>否</t>
        </is>
      </c>
    </row>
    <row r="694">
      <c r="A694" s="0" t="inlineStr">
        <is>
          <t>香港專櫃課</t>
        </is>
      </c>
      <c r="B694" s="0" t="inlineStr">
        <is>
          <t>P0031</t>
        </is>
      </c>
      <c r="C694" s="0" t="inlineStr">
        <is>
          <t>梁綽恩</t>
        </is>
      </c>
      <c r="D694" s="0" t="inlineStr">
        <is>
          <t>2026/05/02</t>
        </is>
      </c>
      <c r="E694" s="0" t="inlineStr">
        <is>
          <t>月休</t>
        </is>
      </c>
      <c r="I694" s="0" t="n">
        <v>0</v>
      </c>
    </row>
    <row r="695">
      <c r="A695" s="0" t="inlineStr">
        <is>
          <t>香港專櫃課</t>
        </is>
      </c>
      <c r="B695" s="0" t="inlineStr">
        <is>
          <t>P0031</t>
        </is>
      </c>
      <c r="C695" s="0" t="inlineStr">
        <is>
          <t>梁綽恩</t>
        </is>
      </c>
      <c r="D695" s="0" t="inlineStr">
        <is>
          <t>2026/05/03</t>
        </is>
      </c>
      <c r="I695" s="0" t="n">
        <v>0</v>
      </c>
    </row>
    <row r="696">
      <c r="A696" s="0" t="inlineStr">
        <is>
          <t>香港專櫃課</t>
        </is>
      </c>
      <c r="B696" s="0" t="inlineStr">
        <is>
          <t>P0031</t>
        </is>
      </c>
      <c r="C696" s="0" t="inlineStr">
        <is>
          <t>梁綽恩</t>
        </is>
      </c>
      <c r="D696" s="0" t="inlineStr">
        <is>
          <t>2026/05/04</t>
        </is>
      </c>
      <c r="I696" s="0" t="n">
        <v>0</v>
      </c>
    </row>
    <row r="697">
      <c r="A697" s="0" t="inlineStr">
        <is>
          <t>香港專櫃課</t>
        </is>
      </c>
      <c r="B697" s="0" t="inlineStr">
        <is>
          <t>P0031</t>
        </is>
      </c>
      <c r="C697" s="0" t="inlineStr">
        <is>
          <t>梁綽恩</t>
        </is>
      </c>
      <c r="D697" s="0" t="inlineStr">
        <is>
          <t>2026/05/05</t>
        </is>
      </c>
      <c r="I697" s="0" t="n">
        <v>0</v>
      </c>
    </row>
    <row r="698">
      <c r="A698" s="0" t="inlineStr">
        <is>
          <t>香港專櫃課</t>
        </is>
      </c>
      <c r="B698" s="0" t="inlineStr">
        <is>
          <t>P0031</t>
        </is>
      </c>
      <c r="C698" s="0" t="inlineStr">
        <is>
          <t>梁綽恩</t>
        </is>
      </c>
      <c r="D698" s="0" t="inlineStr">
        <is>
          <t>2026/05/06</t>
        </is>
      </c>
      <c r="E698" s="0" t="inlineStr">
        <is>
          <t>上班</t>
        </is>
      </c>
      <c r="F698" s="0" t="inlineStr">
        <is>
          <t>香港晚班</t>
        </is>
      </c>
      <c r="G698" s="0" t="inlineStr">
        <is>
          <t>16:00</t>
        </is>
      </c>
      <c r="H698" s="0" t="inlineStr">
        <is>
          <t>21:00</t>
        </is>
      </c>
      <c r="I698" s="0" t="n">
        <v>5</v>
      </c>
      <c r="J698" s="0" t="inlineStr">
        <is>
          <t>16:00</t>
        </is>
      </c>
      <c r="K698" s="0" t="inlineStr">
        <is>
          <t>21:00</t>
        </is>
      </c>
      <c r="L698" s="0" t="inlineStr">
        <is>
          <t>否</t>
        </is>
      </c>
    </row>
    <row r="699">
      <c r="A699" s="0" t="inlineStr">
        <is>
          <t>香港專櫃課</t>
        </is>
      </c>
      <c r="B699" s="0" t="inlineStr">
        <is>
          <t>P0031</t>
        </is>
      </c>
      <c r="C699" s="0" t="inlineStr">
        <is>
          <t>梁綽恩</t>
        </is>
      </c>
      <c r="D699" s="0" t="inlineStr">
        <is>
          <t>2026/05/07</t>
        </is>
      </c>
      <c r="E699" s="0" t="inlineStr">
        <is>
          <t>上班</t>
        </is>
      </c>
      <c r="F699" s="0" t="inlineStr">
        <is>
          <t>香港早班</t>
        </is>
      </c>
      <c r="G699" s="0" t="inlineStr">
        <is>
          <t>10:30</t>
        </is>
      </c>
      <c r="H699" s="0" t="inlineStr">
        <is>
          <t>16:30</t>
        </is>
      </c>
      <c r="I699" s="0" t="n">
        <v>6</v>
      </c>
      <c r="J699" s="0" t="inlineStr">
        <is>
          <t>10:30</t>
        </is>
      </c>
      <c r="K699" s="0" t="inlineStr">
        <is>
          <t>16:30</t>
        </is>
      </c>
      <c r="L699" s="0" t="inlineStr">
        <is>
          <t>否</t>
        </is>
      </c>
    </row>
    <row r="700">
      <c r="A700" s="0" t="inlineStr">
        <is>
          <t>香港專櫃課</t>
        </is>
      </c>
      <c r="B700" s="0" t="inlineStr">
        <is>
          <t>P0031</t>
        </is>
      </c>
      <c r="C700" s="0" t="inlineStr">
        <is>
          <t>梁綽恩</t>
        </is>
      </c>
      <c r="D700" s="0" t="inlineStr">
        <is>
          <t>2026/05/08</t>
        </is>
      </c>
      <c r="E700" s="0" t="inlineStr">
        <is>
          <t>上班</t>
        </is>
      </c>
      <c r="F700" s="0" t="inlineStr">
        <is>
          <t>香港早班</t>
        </is>
      </c>
      <c r="G700" s="0" t="inlineStr">
        <is>
          <t>10:30</t>
        </is>
      </c>
      <c r="H700" s="0" t="inlineStr">
        <is>
          <t>16:30</t>
        </is>
      </c>
      <c r="I700" s="0" t="n">
        <v>6</v>
      </c>
      <c r="J700" s="0" t="inlineStr">
        <is>
          <t>10:30</t>
        </is>
      </c>
      <c r="K700" s="0" t="inlineStr">
        <is>
          <t>16:30</t>
        </is>
      </c>
      <c r="L700" s="0" t="inlineStr">
        <is>
          <t>否</t>
        </is>
      </c>
    </row>
    <row r="701">
      <c r="A701" s="0" t="inlineStr">
        <is>
          <t>香港專櫃課</t>
        </is>
      </c>
      <c r="B701" s="0" t="inlineStr">
        <is>
          <t>P0031</t>
        </is>
      </c>
      <c r="C701" s="0" t="inlineStr">
        <is>
          <t>梁綽恩</t>
        </is>
      </c>
      <c r="D701" s="0" t="inlineStr">
        <is>
          <t>2026/05/09</t>
        </is>
      </c>
      <c r="I701" s="0" t="n">
        <v>0</v>
      </c>
    </row>
    <row r="702">
      <c r="A702" s="0" t="inlineStr">
        <is>
          <t>香港專櫃課</t>
        </is>
      </c>
      <c r="B702" s="0" t="inlineStr">
        <is>
          <t>P0031</t>
        </is>
      </c>
      <c r="C702" s="0" t="inlineStr">
        <is>
          <t>梁綽恩</t>
        </is>
      </c>
      <c r="D702" s="0" t="inlineStr">
        <is>
          <t>2026/05/10</t>
        </is>
      </c>
      <c r="E702" s="0" t="inlineStr">
        <is>
          <t>上班</t>
        </is>
      </c>
      <c r="F702" s="0" t="inlineStr">
        <is>
          <t>香港早班</t>
        </is>
      </c>
      <c r="G702" s="0" t="inlineStr">
        <is>
          <t>10:30</t>
        </is>
      </c>
      <c r="H702" s="0" t="inlineStr">
        <is>
          <t>16:30</t>
        </is>
      </c>
      <c r="I702" s="0" t="n">
        <v>6</v>
      </c>
      <c r="J702" s="0" t="inlineStr">
        <is>
          <t>10:30</t>
        </is>
      </c>
      <c r="K702" s="0" t="inlineStr">
        <is>
          <t>16:30</t>
        </is>
      </c>
      <c r="L702" s="0" t="inlineStr">
        <is>
          <t>否</t>
        </is>
      </c>
    </row>
    <row r="703">
      <c r="A703" s="0" t="inlineStr">
        <is>
          <t>香港專櫃課</t>
        </is>
      </c>
      <c r="B703" s="0" t="inlineStr">
        <is>
          <t>P0031</t>
        </is>
      </c>
      <c r="C703" s="0" t="inlineStr">
        <is>
          <t>梁綽恩</t>
        </is>
      </c>
      <c r="D703" s="0" t="inlineStr">
        <is>
          <t>2026/05/11</t>
        </is>
      </c>
      <c r="E703" s="0" t="inlineStr">
        <is>
          <t>上班</t>
        </is>
      </c>
      <c r="F703" s="0" t="inlineStr">
        <is>
          <t>香港晚班</t>
        </is>
      </c>
      <c r="G703" s="0" t="inlineStr">
        <is>
          <t>16:00</t>
        </is>
      </c>
      <c r="H703" s="0" t="inlineStr">
        <is>
          <t>21:00</t>
        </is>
      </c>
      <c r="I703" s="0" t="n">
        <v>5</v>
      </c>
      <c r="J703" s="0" t="inlineStr">
        <is>
          <t>16:00</t>
        </is>
      </c>
      <c r="K703" s="0" t="inlineStr">
        <is>
          <t>21:00</t>
        </is>
      </c>
      <c r="L703" s="0" t="inlineStr">
        <is>
          <t>否</t>
        </is>
      </c>
    </row>
    <row r="704">
      <c r="A704" s="0" t="inlineStr">
        <is>
          <t>香港專櫃課</t>
        </is>
      </c>
      <c r="B704" s="0" t="inlineStr">
        <is>
          <t>P0031</t>
        </is>
      </c>
      <c r="C704" s="0" t="inlineStr">
        <is>
          <t>梁綽恩</t>
        </is>
      </c>
      <c r="D704" s="0" t="inlineStr">
        <is>
          <t>2026/05/12</t>
        </is>
      </c>
      <c r="I704" s="0" t="n">
        <v>0</v>
      </c>
    </row>
    <row r="705">
      <c r="A705" s="0" t="inlineStr">
        <is>
          <t>香港專櫃課</t>
        </is>
      </c>
      <c r="B705" s="0" t="inlineStr">
        <is>
          <t>P0031</t>
        </is>
      </c>
      <c r="C705" s="0" t="inlineStr">
        <is>
          <t>梁綽恩</t>
        </is>
      </c>
      <c r="D705" s="0" t="inlineStr">
        <is>
          <t>2026/05/13</t>
        </is>
      </c>
      <c r="I705" s="0" t="n">
        <v>0</v>
      </c>
    </row>
    <row r="706">
      <c r="A706" s="0" t="inlineStr">
        <is>
          <t>香港專櫃課</t>
        </is>
      </c>
      <c r="B706" s="0" t="inlineStr">
        <is>
          <t>P0031</t>
        </is>
      </c>
      <c r="C706" s="0" t="inlineStr">
        <is>
          <t>梁綽恩</t>
        </is>
      </c>
      <c r="D706" s="0" t="inlineStr">
        <is>
          <t>2026/05/14</t>
        </is>
      </c>
      <c r="E706" s="0" t="inlineStr">
        <is>
          <t>上班</t>
        </is>
      </c>
      <c r="F706" s="0" t="inlineStr">
        <is>
          <t>香港ALL班</t>
        </is>
      </c>
      <c r="G706" s="0" t="inlineStr">
        <is>
          <t>10:30</t>
        </is>
      </c>
      <c r="H706" s="0" t="inlineStr">
        <is>
          <t>21:00</t>
        </is>
      </c>
      <c r="I706" s="0" t="n">
        <v>10.5</v>
      </c>
      <c r="J706" s="0" t="inlineStr">
        <is>
          <t>10:30</t>
        </is>
      </c>
      <c r="K706" s="0" t="inlineStr">
        <is>
          <t>21:00</t>
        </is>
      </c>
      <c r="L706" s="0" t="inlineStr">
        <is>
          <t>否</t>
        </is>
      </c>
    </row>
    <row r="707">
      <c r="A707" s="0" t="inlineStr">
        <is>
          <t>香港專櫃課</t>
        </is>
      </c>
      <c r="B707" s="0" t="inlineStr">
        <is>
          <t>P0031</t>
        </is>
      </c>
      <c r="C707" s="0" t="inlineStr">
        <is>
          <t>梁綽恩</t>
        </is>
      </c>
      <c r="D707" s="0" t="inlineStr">
        <is>
          <t>2026/05/15</t>
        </is>
      </c>
      <c r="I707" s="0" t="n">
        <v>0</v>
      </c>
    </row>
    <row r="708">
      <c r="A708" s="0" t="inlineStr">
        <is>
          <t>香港專櫃課</t>
        </is>
      </c>
      <c r="B708" s="0" t="inlineStr">
        <is>
          <t>P0031</t>
        </is>
      </c>
      <c r="C708" s="0" t="inlineStr">
        <is>
          <t>梁綽恩</t>
        </is>
      </c>
      <c r="D708" s="0" t="inlineStr">
        <is>
          <t>2026/05/16</t>
        </is>
      </c>
      <c r="E708" s="0" t="inlineStr">
        <is>
          <t>上班</t>
        </is>
      </c>
      <c r="F708" s="0" t="inlineStr">
        <is>
          <t>香港晚班</t>
        </is>
      </c>
      <c r="G708" s="0" t="inlineStr">
        <is>
          <t>16:00</t>
        </is>
      </c>
      <c r="H708" s="0" t="inlineStr">
        <is>
          <t>21:00</t>
        </is>
      </c>
      <c r="I708" s="0" t="n">
        <v>5</v>
      </c>
      <c r="J708" s="0" t="inlineStr">
        <is>
          <t>16:00</t>
        </is>
      </c>
      <c r="K708" s="0" t="inlineStr">
        <is>
          <t>21:00</t>
        </is>
      </c>
      <c r="L708" s="0" t="inlineStr">
        <is>
          <t>否</t>
        </is>
      </c>
    </row>
    <row r="709">
      <c r="A709" s="0" t="inlineStr">
        <is>
          <t>香港專櫃課</t>
        </is>
      </c>
      <c r="B709" s="0" t="inlineStr">
        <is>
          <t>P0031</t>
        </is>
      </c>
      <c r="C709" s="0" t="inlineStr">
        <is>
          <t>梁綽恩</t>
        </is>
      </c>
      <c r="D709" s="0" t="inlineStr">
        <is>
          <t>2026/05/17</t>
        </is>
      </c>
      <c r="E709" s="0" t="inlineStr">
        <is>
          <t>月休</t>
        </is>
      </c>
      <c r="I709" s="0" t="n">
        <v>0</v>
      </c>
    </row>
    <row r="710">
      <c r="A710" s="0" t="inlineStr">
        <is>
          <t>香港專櫃課</t>
        </is>
      </c>
      <c r="B710" s="0" t="inlineStr">
        <is>
          <t>P0031</t>
        </is>
      </c>
      <c r="C710" s="0" t="inlineStr">
        <is>
          <t>梁綽恩</t>
        </is>
      </c>
      <c r="D710" s="0" t="inlineStr">
        <is>
          <t>2026/05/18</t>
        </is>
      </c>
      <c r="I710" s="0" t="n">
        <v>0</v>
      </c>
    </row>
    <row r="711">
      <c r="A711" s="0" t="inlineStr">
        <is>
          <t>香港專櫃課</t>
        </is>
      </c>
      <c r="B711" s="0" t="inlineStr">
        <is>
          <t>P0031</t>
        </is>
      </c>
      <c r="C711" s="0" t="inlineStr">
        <is>
          <t>梁綽恩</t>
        </is>
      </c>
      <c r="D711" s="0" t="inlineStr">
        <is>
          <t>2026/05/19</t>
        </is>
      </c>
      <c r="E711" s="0" t="inlineStr">
        <is>
          <t>月休</t>
        </is>
      </c>
      <c r="I711" s="0" t="n">
        <v>0</v>
      </c>
    </row>
    <row r="712">
      <c r="A712" s="0" t="inlineStr">
        <is>
          <t>香港專櫃課</t>
        </is>
      </c>
      <c r="B712" s="0" t="inlineStr">
        <is>
          <t>P0031</t>
        </is>
      </c>
      <c r="C712" s="0" t="inlineStr">
        <is>
          <t>梁綽恩</t>
        </is>
      </c>
      <c r="D712" s="0" t="inlineStr">
        <is>
          <t>2026/05/20</t>
        </is>
      </c>
      <c r="I712" s="0" t="n">
        <v>0</v>
      </c>
    </row>
    <row r="713">
      <c r="A713" s="0" t="inlineStr">
        <is>
          <t>香港專櫃課</t>
        </is>
      </c>
      <c r="B713" s="0" t="inlineStr">
        <is>
          <t>P0031</t>
        </is>
      </c>
      <c r="C713" s="0" t="inlineStr">
        <is>
          <t>梁綽恩</t>
        </is>
      </c>
      <c r="D713" s="0" t="inlineStr">
        <is>
          <t>2026/05/21</t>
        </is>
      </c>
      <c r="I713" s="0" t="n">
        <v>0</v>
      </c>
    </row>
    <row r="714">
      <c r="A714" s="0" t="inlineStr">
        <is>
          <t>香港專櫃課</t>
        </is>
      </c>
      <c r="B714" s="0" t="inlineStr">
        <is>
          <t>P0031</t>
        </is>
      </c>
      <c r="C714" s="0" t="inlineStr">
        <is>
          <t>梁綽恩</t>
        </is>
      </c>
      <c r="D714" s="0" t="inlineStr">
        <is>
          <t>2026/05/22</t>
        </is>
      </c>
      <c r="E714" s="0" t="inlineStr">
        <is>
          <t>上班</t>
        </is>
      </c>
      <c r="F714" s="0" t="inlineStr">
        <is>
          <t>香港早班</t>
        </is>
      </c>
      <c r="G714" s="0" t="inlineStr">
        <is>
          <t>10:30</t>
        </is>
      </c>
      <c r="H714" s="0" t="inlineStr">
        <is>
          <t>16:30</t>
        </is>
      </c>
      <c r="I714" s="0" t="n">
        <v>6</v>
      </c>
      <c r="J714" s="0" t="inlineStr">
        <is>
          <t>10:30</t>
        </is>
      </c>
      <c r="K714" s="0" t="inlineStr">
        <is>
          <t>16:30</t>
        </is>
      </c>
      <c r="L714" s="0" t="inlineStr">
        <is>
          <t>否</t>
        </is>
      </c>
    </row>
    <row r="715">
      <c r="A715" s="0" t="inlineStr">
        <is>
          <t>香港專櫃課</t>
        </is>
      </c>
      <c r="B715" s="0" t="inlineStr">
        <is>
          <t>P0031</t>
        </is>
      </c>
      <c r="C715" s="0" t="inlineStr">
        <is>
          <t>梁綽恩</t>
        </is>
      </c>
      <c r="D715" s="0" t="inlineStr">
        <is>
          <t>2026/05/23</t>
        </is>
      </c>
      <c r="E715" s="0" t="inlineStr">
        <is>
          <t>上班</t>
        </is>
      </c>
      <c r="F715" s="0" t="inlineStr">
        <is>
          <t>香港晚班</t>
        </is>
      </c>
      <c r="G715" s="0" t="inlineStr">
        <is>
          <t>16:00</t>
        </is>
      </c>
      <c r="H715" s="0" t="inlineStr">
        <is>
          <t>21:00</t>
        </is>
      </c>
      <c r="I715" s="0" t="n">
        <v>5</v>
      </c>
      <c r="J715" s="0" t="inlineStr">
        <is>
          <t>16:00</t>
        </is>
      </c>
      <c r="K715" s="0" t="inlineStr">
        <is>
          <t>21:00</t>
        </is>
      </c>
      <c r="L715" s="0" t="inlineStr">
        <is>
          <t>否</t>
        </is>
      </c>
    </row>
    <row r="716">
      <c r="A716" s="0" t="inlineStr">
        <is>
          <t>香港專櫃課</t>
        </is>
      </c>
      <c r="B716" s="0" t="inlineStr">
        <is>
          <t>P0031</t>
        </is>
      </c>
      <c r="C716" s="0" t="inlineStr">
        <is>
          <t>梁綽恩</t>
        </is>
      </c>
      <c r="D716" s="0" t="inlineStr">
        <is>
          <t>2026/05/24</t>
        </is>
      </c>
      <c r="E716" s="0" t="inlineStr">
        <is>
          <t>月休</t>
        </is>
      </c>
      <c r="I716" s="0" t="n">
        <v>0</v>
      </c>
    </row>
    <row r="717">
      <c r="A717" s="0" t="inlineStr">
        <is>
          <t>香港專櫃課</t>
        </is>
      </c>
      <c r="B717" s="0" t="inlineStr">
        <is>
          <t>P0031</t>
        </is>
      </c>
      <c r="C717" s="0" t="inlineStr">
        <is>
          <t>梁綽恩</t>
        </is>
      </c>
      <c r="D717" s="0" t="inlineStr">
        <is>
          <t>2026/05/25</t>
        </is>
      </c>
      <c r="E717" s="0" t="inlineStr">
        <is>
          <t>上班</t>
        </is>
      </c>
      <c r="F717" s="0" t="inlineStr">
        <is>
          <t>香港早班</t>
        </is>
      </c>
      <c r="G717" s="0" t="inlineStr">
        <is>
          <t>10:30</t>
        </is>
      </c>
      <c r="H717" s="0" t="inlineStr">
        <is>
          <t>16:30</t>
        </is>
      </c>
      <c r="I717" s="0" t="n">
        <v>6</v>
      </c>
      <c r="J717" s="0" t="inlineStr">
        <is>
          <t>10:30</t>
        </is>
      </c>
      <c r="K717" s="0" t="inlineStr">
        <is>
          <t>16:30</t>
        </is>
      </c>
      <c r="L717" s="0" t="inlineStr">
        <is>
          <t>否</t>
        </is>
      </c>
    </row>
    <row r="718">
      <c r="A718" s="0" t="inlineStr">
        <is>
          <t>香港專櫃課</t>
        </is>
      </c>
      <c r="B718" s="0" t="inlineStr">
        <is>
          <t>P0031</t>
        </is>
      </c>
      <c r="C718" s="0" t="inlineStr">
        <is>
          <t>梁綽恩</t>
        </is>
      </c>
      <c r="D718" s="0" t="inlineStr">
        <is>
          <t>2026/05/26</t>
        </is>
      </c>
      <c r="I718" s="0" t="n">
        <v>0</v>
      </c>
    </row>
    <row r="719">
      <c r="A719" s="0" t="inlineStr">
        <is>
          <t>香港專櫃課</t>
        </is>
      </c>
      <c r="B719" s="0" t="inlineStr">
        <is>
          <t>P0031</t>
        </is>
      </c>
      <c r="C719" s="0" t="inlineStr">
        <is>
          <t>梁綽恩</t>
        </is>
      </c>
      <c r="D719" s="0" t="inlineStr">
        <is>
          <t>2026/05/27</t>
        </is>
      </c>
      <c r="E719" s="0" t="inlineStr">
        <is>
          <t>上班</t>
        </is>
      </c>
      <c r="F719" s="0" t="inlineStr">
        <is>
          <t>香港早班</t>
        </is>
      </c>
      <c r="G719" s="0" t="inlineStr">
        <is>
          <t>10:30</t>
        </is>
      </c>
      <c r="H719" s="0" t="inlineStr">
        <is>
          <t>16:30</t>
        </is>
      </c>
      <c r="I719" s="0" t="n">
        <v>6</v>
      </c>
      <c r="J719" s="0" t="inlineStr">
        <is>
          <t>10:30</t>
        </is>
      </c>
      <c r="K719" s="0" t="inlineStr">
        <is>
          <t>16:30</t>
        </is>
      </c>
      <c r="L719" s="0" t="inlineStr">
        <is>
          <t>否</t>
        </is>
      </c>
    </row>
    <row r="720">
      <c r="A720" s="0" t="inlineStr">
        <is>
          <t>香港專櫃課</t>
        </is>
      </c>
      <c r="B720" s="0" t="inlineStr">
        <is>
          <t>P0031</t>
        </is>
      </c>
      <c r="C720" s="0" t="inlineStr">
        <is>
          <t>梁綽恩</t>
        </is>
      </c>
      <c r="D720" s="0" t="inlineStr">
        <is>
          <t>2026/05/28</t>
        </is>
      </c>
      <c r="I720" s="0" t="n">
        <v>0</v>
      </c>
    </row>
    <row r="721">
      <c r="A721" s="0" t="inlineStr">
        <is>
          <t>香港專櫃課</t>
        </is>
      </c>
      <c r="B721" s="0" t="inlineStr">
        <is>
          <t>P0031</t>
        </is>
      </c>
      <c r="C721" s="0" t="inlineStr">
        <is>
          <t>梁綽恩</t>
        </is>
      </c>
      <c r="D721" s="0" t="inlineStr">
        <is>
          <t>2026/05/29</t>
        </is>
      </c>
      <c r="I721" s="0" t="n">
        <v>0</v>
      </c>
    </row>
    <row r="722">
      <c r="A722" s="0" t="inlineStr">
        <is>
          <t>香港專櫃課</t>
        </is>
      </c>
      <c r="B722" s="0" t="inlineStr">
        <is>
          <t>P0031</t>
        </is>
      </c>
      <c r="C722" s="0" t="inlineStr">
        <is>
          <t>梁綽恩</t>
        </is>
      </c>
      <c r="D722" s="0" t="inlineStr">
        <is>
          <t>2026/05/30</t>
        </is>
      </c>
      <c r="E722" s="0" t="inlineStr">
        <is>
          <t>上班</t>
        </is>
      </c>
      <c r="F722" s="0" t="inlineStr">
        <is>
          <t>香港早班</t>
        </is>
      </c>
      <c r="G722" s="0" t="inlineStr">
        <is>
          <t>10:30</t>
        </is>
      </c>
      <c r="H722" s="0" t="inlineStr">
        <is>
          <t>16:30</t>
        </is>
      </c>
      <c r="I722" s="0" t="n">
        <v>6</v>
      </c>
      <c r="J722" s="0" t="inlineStr">
        <is>
          <t>10:30</t>
        </is>
      </c>
      <c r="K722" s="0" t="inlineStr">
        <is>
          <t>16:30</t>
        </is>
      </c>
      <c r="L722" s="0" t="inlineStr">
        <is>
          <t>否</t>
        </is>
      </c>
    </row>
    <row r="723">
      <c r="A723" s="0" t="inlineStr">
        <is>
          <t>香港專櫃課</t>
        </is>
      </c>
      <c r="B723" s="0" t="inlineStr">
        <is>
          <t>P0031</t>
        </is>
      </c>
      <c r="C723" s="0" t="inlineStr">
        <is>
          <t>梁綽恩</t>
        </is>
      </c>
      <c r="D723" s="0" t="inlineStr">
        <is>
          <t>2026/05/31</t>
        </is>
      </c>
      <c r="I723" s="0" t="n">
        <v>0</v>
      </c>
    </row>
    <row r="724">
      <c r="A724" s="0" t="inlineStr">
        <is>
          <t>香港專櫃課</t>
        </is>
      </c>
      <c r="B724" s="0" t="inlineStr">
        <is>
          <t>P0031</t>
        </is>
      </c>
      <c r="C724" s="0" t="inlineStr">
        <is>
          <t>梁綽恩</t>
        </is>
      </c>
      <c r="D724" s="0" t="inlineStr">
        <is>
          <t>2026/06/01</t>
        </is>
      </c>
      <c r="E724" s="0" t="inlineStr">
        <is>
          <t>上班</t>
        </is>
      </c>
      <c r="F724" s="0" t="inlineStr">
        <is>
          <t>香港早班</t>
        </is>
      </c>
      <c r="G724" s="0" t="inlineStr">
        <is>
          <t>10:30</t>
        </is>
      </c>
      <c r="H724" s="0" t="inlineStr">
        <is>
          <t>16:30</t>
        </is>
      </c>
      <c r="I724" s="0" t="n">
        <v>6</v>
      </c>
      <c r="J724" s="0" t="inlineStr">
        <is>
          <t>10:30</t>
        </is>
      </c>
      <c r="K724" s="0" t="inlineStr">
        <is>
          <t>16:30</t>
        </is>
      </c>
      <c r="L724" s="0" t="inlineStr">
        <is>
          <t>否</t>
        </is>
      </c>
    </row>
    <row r="725">
      <c r="A725" s="0" t="inlineStr">
        <is>
          <t>香港專櫃課</t>
        </is>
      </c>
      <c r="B725" s="0" t="inlineStr">
        <is>
          <t>P0031</t>
        </is>
      </c>
      <c r="C725" s="0" t="inlineStr">
        <is>
          <t>梁綽恩</t>
        </is>
      </c>
      <c r="D725" s="0" t="inlineStr">
        <is>
          <t>2026/06/02</t>
        </is>
      </c>
      <c r="E725" s="0" t="inlineStr">
        <is>
          <t>上班</t>
        </is>
      </c>
      <c r="F725" s="0" t="inlineStr">
        <is>
          <t>香港ALL班</t>
        </is>
      </c>
      <c r="G725" s="0" t="inlineStr">
        <is>
          <t>10:30</t>
        </is>
      </c>
      <c r="H725" s="0" t="inlineStr">
        <is>
          <t>21:00</t>
        </is>
      </c>
      <c r="I725" s="0" t="n">
        <v>10.5</v>
      </c>
      <c r="J725" s="0" t="inlineStr">
        <is>
          <t>10:30</t>
        </is>
      </c>
      <c r="K725" s="0" t="inlineStr">
        <is>
          <t>21:00</t>
        </is>
      </c>
      <c r="L725" s="0" t="inlineStr">
        <is>
          <t>否</t>
        </is>
      </c>
    </row>
    <row r="726">
      <c r="A726" s="0" t="inlineStr">
        <is>
          <t>香港專櫃課</t>
        </is>
      </c>
      <c r="B726" s="0" t="inlineStr">
        <is>
          <t>P0031</t>
        </is>
      </c>
      <c r="C726" s="0" t="inlineStr">
        <is>
          <t>梁綽恩</t>
        </is>
      </c>
      <c r="D726" s="0" t="inlineStr">
        <is>
          <t>2026/06/03</t>
        </is>
      </c>
      <c r="E726" s="0" t="inlineStr">
        <is>
          <t>月休</t>
        </is>
      </c>
      <c r="I726" s="0" t="n">
        <v>0</v>
      </c>
    </row>
    <row r="727">
      <c r="A727" s="0" t="inlineStr">
        <is>
          <t>香港專櫃課</t>
        </is>
      </c>
      <c r="B727" s="0" t="inlineStr">
        <is>
          <t>P0031</t>
        </is>
      </c>
      <c r="C727" s="0" t="inlineStr">
        <is>
          <t>梁綽恩</t>
        </is>
      </c>
      <c r="D727" s="0" t="inlineStr">
        <is>
          <t>2026/06/04</t>
        </is>
      </c>
      <c r="E727" s="0" t="inlineStr">
        <is>
          <t>上班</t>
        </is>
      </c>
      <c r="F727" s="0" t="inlineStr">
        <is>
          <t>香港ALL班</t>
        </is>
      </c>
      <c r="G727" s="0" t="inlineStr">
        <is>
          <t>10:30</t>
        </is>
      </c>
      <c r="H727" s="0" t="inlineStr">
        <is>
          <t>21:00</t>
        </is>
      </c>
      <c r="I727" s="0" t="n">
        <v>10.5</v>
      </c>
      <c r="J727" s="0" t="inlineStr">
        <is>
          <t>10:30</t>
        </is>
      </c>
      <c r="K727" s="0" t="inlineStr">
        <is>
          <t>21:00</t>
        </is>
      </c>
      <c r="L727" s="0" t="inlineStr">
        <is>
          <t>否</t>
        </is>
      </c>
    </row>
    <row r="728">
      <c r="A728" s="0" t="inlineStr">
        <is>
          <t>香港專櫃課</t>
        </is>
      </c>
      <c r="B728" s="0" t="inlineStr">
        <is>
          <t>P0031</t>
        </is>
      </c>
      <c r="C728" s="0" t="inlineStr">
        <is>
          <t>梁綽恩</t>
        </is>
      </c>
      <c r="D728" s="0" t="inlineStr">
        <is>
          <t>2026/06/05</t>
        </is>
      </c>
      <c r="I728" s="0" t="n">
        <v>0</v>
      </c>
    </row>
    <row r="729">
      <c r="A729" s="0" t="inlineStr">
        <is>
          <t>香港專櫃課</t>
        </is>
      </c>
      <c r="B729" s="0" t="inlineStr">
        <is>
          <t>P0031</t>
        </is>
      </c>
      <c r="C729" s="0" t="inlineStr">
        <is>
          <t>梁綽恩</t>
        </is>
      </c>
      <c r="D729" s="0" t="inlineStr">
        <is>
          <t>2026/06/06</t>
        </is>
      </c>
      <c r="E729" s="0" t="inlineStr">
        <is>
          <t>月休</t>
        </is>
      </c>
      <c r="I729" s="0" t="n">
        <v>0</v>
      </c>
    </row>
    <row r="730">
      <c r="A730" s="0" t="inlineStr">
        <is>
          <t>香港專櫃課</t>
        </is>
      </c>
      <c r="B730" s="0" t="inlineStr">
        <is>
          <t>P0031</t>
        </is>
      </c>
      <c r="C730" s="0" t="inlineStr">
        <is>
          <t>梁綽恩</t>
        </is>
      </c>
      <c r="D730" s="0" t="inlineStr">
        <is>
          <t>2026/06/07</t>
        </is>
      </c>
      <c r="E730" s="0" t="inlineStr">
        <is>
          <t>月休</t>
        </is>
      </c>
      <c r="I730" s="0" t="n">
        <v>0</v>
      </c>
    </row>
    <row r="731">
      <c r="A731" s="0" t="inlineStr">
        <is>
          <t>香港專櫃課</t>
        </is>
      </c>
      <c r="B731" s="0" t="inlineStr">
        <is>
          <t>P0031</t>
        </is>
      </c>
      <c r="C731" s="0" t="inlineStr">
        <is>
          <t>梁綽恩</t>
        </is>
      </c>
      <c r="D731" s="0" t="inlineStr">
        <is>
          <t>2026/06/08</t>
        </is>
      </c>
      <c r="E731" s="0" t="inlineStr">
        <is>
          <t>上班</t>
        </is>
      </c>
      <c r="F731" s="0" t="inlineStr">
        <is>
          <t>香港ALL班</t>
        </is>
      </c>
      <c r="G731" s="0" t="inlineStr">
        <is>
          <t>10:30</t>
        </is>
      </c>
      <c r="H731" s="0" t="inlineStr">
        <is>
          <t>21:00</t>
        </is>
      </c>
      <c r="I731" s="0" t="n">
        <v>10.5</v>
      </c>
      <c r="J731" s="0" t="inlineStr">
        <is>
          <t>10:30</t>
        </is>
      </c>
      <c r="K731" s="0" t="inlineStr">
        <is>
          <t>21:00</t>
        </is>
      </c>
      <c r="L731" s="0" t="inlineStr">
        <is>
          <t>否</t>
        </is>
      </c>
    </row>
    <row r="732">
      <c r="A732" s="0" t="inlineStr">
        <is>
          <t>香港專櫃課</t>
        </is>
      </c>
      <c r="B732" s="0" t="inlineStr">
        <is>
          <t>P0031</t>
        </is>
      </c>
      <c r="C732" s="0" t="inlineStr">
        <is>
          <t>梁綽恩</t>
        </is>
      </c>
      <c r="D732" s="0" t="inlineStr">
        <is>
          <t>2026/06/09</t>
        </is>
      </c>
      <c r="E732" s="0" t="inlineStr">
        <is>
          <t>上班</t>
        </is>
      </c>
      <c r="F732" s="0" t="inlineStr">
        <is>
          <t>香港晚班</t>
        </is>
      </c>
      <c r="G732" s="0" t="inlineStr">
        <is>
          <t>16:00</t>
        </is>
      </c>
      <c r="H732" s="0" t="inlineStr">
        <is>
          <t>21:00</t>
        </is>
      </c>
      <c r="I732" s="0" t="n">
        <v>5</v>
      </c>
      <c r="J732" s="0" t="inlineStr">
        <is>
          <t>16:00</t>
        </is>
      </c>
      <c r="K732" s="0" t="inlineStr">
        <is>
          <t>21:00</t>
        </is>
      </c>
      <c r="L732" s="0" t="inlineStr">
        <is>
          <t>否</t>
        </is>
      </c>
    </row>
    <row r="733">
      <c r="A733" s="0" t="inlineStr">
        <is>
          <t>香港專櫃課</t>
        </is>
      </c>
      <c r="B733" s="0" t="inlineStr">
        <is>
          <t>P0031</t>
        </is>
      </c>
      <c r="C733" s="0" t="inlineStr">
        <is>
          <t>梁綽恩</t>
        </is>
      </c>
      <c r="D733" s="0" t="inlineStr">
        <is>
          <t>2026/06/10</t>
        </is>
      </c>
      <c r="E733" s="0" t="inlineStr">
        <is>
          <t>月休</t>
        </is>
      </c>
      <c r="I733" s="0" t="n">
        <v>0</v>
      </c>
    </row>
    <row r="734">
      <c r="A734" s="0" t="inlineStr">
        <is>
          <t>香港專櫃課</t>
        </is>
      </c>
      <c r="B734" s="0" t="inlineStr">
        <is>
          <t>P0031</t>
        </is>
      </c>
      <c r="C734" s="0" t="inlineStr">
        <is>
          <t>梁綽恩</t>
        </is>
      </c>
      <c r="D734" s="0" t="inlineStr">
        <is>
          <t>2026/06/11</t>
        </is>
      </c>
      <c r="E734" s="0" t="inlineStr">
        <is>
          <t>上班</t>
        </is>
      </c>
      <c r="F734" s="0" t="inlineStr">
        <is>
          <t>香港早班</t>
        </is>
      </c>
      <c r="G734" s="0" t="inlineStr">
        <is>
          <t>10:30</t>
        </is>
      </c>
      <c r="H734" s="0" t="inlineStr">
        <is>
          <t>16:30</t>
        </is>
      </c>
      <c r="I734" s="0" t="n">
        <v>6</v>
      </c>
      <c r="J734" s="0" t="inlineStr">
        <is>
          <t>10:30</t>
        </is>
      </c>
      <c r="K734" s="0" t="inlineStr">
        <is>
          <t>16:30</t>
        </is>
      </c>
      <c r="L734" s="0" t="inlineStr">
        <is>
          <t>否</t>
        </is>
      </c>
    </row>
    <row r="735">
      <c r="A735" s="0" t="inlineStr">
        <is>
          <t>香港專櫃課</t>
        </is>
      </c>
      <c r="B735" s="0" t="inlineStr">
        <is>
          <t>P0031</t>
        </is>
      </c>
      <c r="C735" s="0" t="inlineStr">
        <is>
          <t>梁綽恩</t>
        </is>
      </c>
      <c r="D735" s="0" t="inlineStr">
        <is>
          <t>2026/06/12</t>
        </is>
      </c>
      <c r="I735" s="0" t="n">
        <v>0</v>
      </c>
    </row>
    <row r="736">
      <c r="A736" s="0" t="inlineStr">
        <is>
          <t>香港專櫃課</t>
        </is>
      </c>
      <c r="B736" s="0" t="inlineStr">
        <is>
          <t>P0031</t>
        </is>
      </c>
      <c r="C736" s="0" t="inlineStr">
        <is>
          <t>梁綽恩</t>
        </is>
      </c>
      <c r="D736" s="0" t="inlineStr">
        <is>
          <t>2026/06/13</t>
        </is>
      </c>
      <c r="E736" s="0" t="inlineStr">
        <is>
          <t>月休</t>
        </is>
      </c>
      <c r="I736" s="0" t="n">
        <v>0</v>
      </c>
    </row>
    <row r="737">
      <c r="A737" s="0" t="inlineStr">
        <is>
          <t>香港專櫃課</t>
        </is>
      </c>
      <c r="B737" s="0" t="inlineStr">
        <is>
          <t>P0031</t>
        </is>
      </c>
      <c r="C737" s="0" t="inlineStr">
        <is>
          <t>梁綽恩</t>
        </is>
      </c>
      <c r="D737" s="0" t="inlineStr">
        <is>
          <t>2026/06/14</t>
        </is>
      </c>
      <c r="E737" s="0" t="inlineStr">
        <is>
          <t>月休</t>
        </is>
      </c>
      <c r="I737" s="0" t="n">
        <v>0</v>
      </c>
    </row>
    <row r="738">
      <c r="A738" s="0" t="inlineStr">
        <is>
          <t>香港專櫃課</t>
        </is>
      </c>
      <c r="B738" s="0" t="inlineStr">
        <is>
          <t>P0031</t>
        </is>
      </c>
      <c r="C738" s="0" t="inlineStr">
        <is>
          <t>梁綽恩</t>
        </is>
      </c>
      <c r="D738" s="0" t="inlineStr">
        <is>
          <t>2026/06/15</t>
        </is>
      </c>
      <c r="E738" s="0" t="inlineStr">
        <is>
          <t>月休</t>
        </is>
      </c>
      <c r="I738" s="0" t="n">
        <v>0</v>
      </c>
    </row>
    <row r="739">
      <c r="A739" s="0" t="inlineStr">
        <is>
          <t>香港專櫃課</t>
        </is>
      </c>
      <c r="B739" s="0" t="inlineStr">
        <is>
          <t>P0031</t>
        </is>
      </c>
      <c r="C739" s="0" t="inlineStr">
        <is>
          <t>梁綽恩</t>
        </is>
      </c>
      <c r="D739" s="0" t="inlineStr">
        <is>
          <t>2026/06/16</t>
        </is>
      </c>
      <c r="E739" s="0" t="inlineStr">
        <is>
          <t>月休</t>
        </is>
      </c>
      <c r="I739" s="0" t="n">
        <v>0</v>
      </c>
    </row>
    <row r="740">
      <c r="A740" s="0" t="inlineStr">
        <is>
          <t>香港專櫃課</t>
        </is>
      </c>
      <c r="B740" s="0" t="inlineStr">
        <is>
          <t>P0031</t>
        </is>
      </c>
      <c r="C740" s="0" t="inlineStr">
        <is>
          <t>梁綽恩</t>
        </is>
      </c>
      <c r="D740" s="0" t="inlineStr">
        <is>
          <t>2026/06/17</t>
        </is>
      </c>
      <c r="E740" s="0" t="inlineStr">
        <is>
          <t>上班</t>
        </is>
      </c>
      <c r="F740" s="0" t="inlineStr">
        <is>
          <t>香港ALL班</t>
        </is>
      </c>
      <c r="G740" s="0" t="inlineStr">
        <is>
          <t>10:30</t>
        </is>
      </c>
      <c r="H740" s="0" t="inlineStr">
        <is>
          <t>21:00</t>
        </is>
      </c>
      <c r="I740" s="0" t="n">
        <v>10.5</v>
      </c>
      <c r="J740" s="0" t="inlineStr">
        <is>
          <t>10:30</t>
        </is>
      </c>
      <c r="K740" s="0" t="inlineStr">
        <is>
          <t>21:00</t>
        </is>
      </c>
      <c r="L740" s="0" t="inlineStr">
        <is>
          <t>否</t>
        </is>
      </c>
    </row>
    <row r="741">
      <c r="A741" s="0" t="inlineStr">
        <is>
          <t>香港專櫃課</t>
        </is>
      </c>
      <c r="B741" s="0" t="inlineStr">
        <is>
          <t>P0031</t>
        </is>
      </c>
      <c r="C741" s="0" t="inlineStr">
        <is>
          <t>梁綽恩</t>
        </is>
      </c>
      <c r="D741" s="0" t="inlineStr">
        <is>
          <t>2026/06/18</t>
        </is>
      </c>
      <c r="E741" s="0" t="inlineStr">
        <is>
          <t>上班</t>
        </is>
      </c>
      <c r="F741" s="0" t="inlineStr">
        <is>
          <t>香港早班</t>
        </is>
      </c>
      <c r="G741" s="0" t="inlineStr">
        <is>
          <t>10:30</t>
        </is>
      </c>
      <c r="H741" s="0" t="inlineStr">
        <is>
          <t>16:30</t>
        </is>
      </c>
      <c r="I741" s="0" t="n">
        <v>6</v>
      </c>
      <c r="J741" s="0" t="inlineStr">
        <is>
          <t>10:30</t>
        </is>
      </c>
      <c r="K741" s="0" t="inlineStr">
        <is>
          <t>16:30</t>
        </is>
      </c>
      <c r="L741" s="0" t="inlineStr">
        <is>
          <t>否</t>
        </is>
      </c>
    </row>
    <row r="742">
      <c r="A742" s="0" t="inlineStr">
        <is>
          <t>香港專櫃課</t>
        </is>
      </c>
      <c r="B742" s="0" t="inlineStr">
        <is>
          <t>P0031</t>
        </is>
      </c>
      <c r="C742" s="0" t="inlineStr">
        <is>
          <t>梁綽恩</t>
        </is>
      </c>
      <c r="D742" s="0" t="inlineStr">
        <is>
          <t>2026/06/19</t>
        </is>
      </c>
      <c r="E742" s="0" t="inlineStr">
        <is>
          <t>國定假日</t>
        </is>
      </c>
      <c r="I742" s="0" t="n">
        <v>0</v>
      </c>
    </row>
    <row r="743">
      <c r="A743" s="0" t="inlineStr">
        <is>
          <t>香港專櫃課</t>
        </is>
      </c>
      <c r="B743" s="0" t="inlineStr">
        <is>
          <t>P0031</t>
        </is>
      </c>
      <c r="C743" s="0" t="inlineStr">
        <is>
          <t>梁綽恩</t>
        </is>
      </c>
      <c r="D743" s="0" t="inlineStr">
        <is>
          <t>2026/06/20</t>
        </is>
      </c>
      <c r="E743" s="0" t="inlineStr">
        <is>
          <t>月休</t>
        </is>
      </c>
      <c r="I743" s="0" t="n">
        <v>0</v>
      </c>
    </row>
    <row r="744">
      <c r="A744" s="0" t="inlineStr">
        <is>
          <t>香港專櫃課</t>
        </is>
      </c>
      <c r="B744" s="0" t="inlineStr">
        <is>
          <t>P0031</t>
        </is>
      </c>
      <c r="C744" s="0" t="inlineStr">
        <is>
          <t>梁綽恩</t>
        </is>
      </c>
      <c r="D744" s="0" t="inlineStr">
        <is>
          <t>2026/06/21</t>
        </is>
      </c>
      <c r="E744" s="0" t="inlineStr">
        <is>
          <t>月休</t>
        </is>
      </c>
      <c r="I744" s="0" t="n">
        <v>0</v>
      </c>
    </row>
    <row r="745">
      <c r="A745" s="0" t="inlineStr">
        <is>
          <t>香港專櫃課</t>
        </is>
      </c>
      <c r="B745" s="0" t="inlineStr">
        <is>
          <t>P0031</t>
        </is>
      </c>
      <c r="C745" s="0" t="inlineStr">
        <is>
          <t>梁綽恩</t>
        </is>
      </c>
      <c r="D745" s="0" t="inlineStr">
        <is>
          <t>2026/06/22</t>
        </is>
      </c>
      <c r="E745" s="0" t="inlineStr">
        <is>
          <t>月休</t>
        </is>
      </c>
      <c r="I745" s="0" t="n">
        <v>0</v>
      </c>
    </row>
    <row r="746">
      <c r="A746" s="0" t="inlineStr">
        <is>
          <t>香港專櫃課</t>
        </is>
      </c>
      <c r="B746" s="0" t="inlineStr">
        <is>
          <t>P0031</t>
        </is>
      </c>
      <c r="C746" s="0" t="inlineStr">
        <is>
          <t>梁綽恩</t>
        </is>
      </c>
      <c r="D746" s="0" t="inlineStr">
        <is>
          <t>2026/06/23</t>
        </is>
      </c>
      <c r="E746" s="0" t="inlineStr">
        <is>
          <t>月休</t>
        </is>
      </c>
      <c r="I746" s="0" t="n">
        <v>0</v>
      </c>
    </row>
    <row r="747">
      <c r="A747" s="0" t="inlineStr">
        <is>
          <t>香港專櫃課</t>
        </is>
      </c>
      <c r="B747" s="0" t="inlineStr">
        <is>
          <t>P0031</t>
        </is>
      </c>
      <c r="C747" s="0" t="inlineStr">
        <is>
          <t>梁綽恩</t>
        </is>
      </c>
      <c r="D747" s="0" t="inlineStr">
        <is>
          <t>2026/06/24</t>
        </is>
      </c>
      <c r="E747" s="0" t="inlineStr">
        <is>
          <t>上班</t>
        </is>
      </c>
      <c r="F747" s="0" t="inlineStr">
        <is>
          <t>香港早班</t>
        </is>
      </c>
      <c r="G747" s="0" t="inlineStr">
        <is>
          <t>10:30</t>
        </is>
      </c>
      <c r="H747" s="0" t="inlineStr">
        <is>
          <t>16:30</t>
        </is>
      </c>
      <c r="I747" s="0" t="n">
        <v>6</v>
      </c>
      <c r="J747" s="0" t="inlineStr">
        <is>
          <t>10:30</t>
        </is>
      </c>
      <c r="K747" s="0" t="inlineStr">
        <is>
          <t>16:30</t>
        </is>
      </c>
      <c r="L747" s="0" t="inlineStr">
        <is>
          <t>否</t>
        </is>
      </c>
    </row>
    <row r="748">
      <c r="A748" s="0" t="inlineStr">
        <is>
          <t>香港專櫃課</t>
        </is>
      </c>
      <c r="B748" s="0" t="inlineStr">
        <is>
          <t>P0031</t>
        </is>
      </c>
      <c r="C748" s="0" t="inlineStr">
        <is>
          <t>梁綽恩</t>
        </is>
      </c>
      <c r="D748" s="0" t="inlineStr">
        <is>
          <t>2026/06/25</t>
        </is>
      </c>
      <c r="E748" s="0" t="inlineStr">
        <is>
          <t>月休</t>
        </is>
      </c>
      <c r="I748" s="0" t="n">
        <v>0</v>
      </c>
    </row>
    <row r="749">
      <c r="A749" s="0" t="inlineStr">
        <is>
          <t>香港專櫃課</t>
        </is>
      </c>
      <c r="B749" s="0" t="inlineStr">
        <is>
          <t>P0031</t>
        </is>
      </c>
      <c r="C749" s="0" t="inlineStr">
        <is>
          <t>梁綽恩</t>
        </is>
      </c>
      <c r="D749" s="0" t="inlineStr">
        <is>
          <t>2026/06/26</t>
        </is>
      </c>
      <c r="E749" s="0" t="inlineStr">
        <is>
          <t>月休</t>
        </is>
      </c>
      <c r="I749" s="0" t="n">
        <v>0</v>
      </c>
    </row>
    <row r="750">
      <c r="A750" s="0" t="inlineStr">
        <is>
          <t>香港專櫃課</t>
        </is>
      </c>
      <c r="B750" s="0" t="inlineStr">
        <is>
          <t>P0031</t>
        </is>
      </c>
      <c r="C750" s="0" t="inlineStr">
        <is>
          <t>梁綽恩</t>
        </is>
      </c>
      <c r="D750" s="0" t="inlineStr">
        <is>
          <t>2026/06/27</t>
        </is>
      </c>
      <c r="E750" s="0" t="inlineStr">
        <is>
          <t>月休</t>
        </is>
      </c>
      <c r="I750" s="0" t="n">
        <v>0</v>
      </c>
    </row>
    <row r="751">
      <c r="A751" s="0" t="inlineStr">
        <is>
          <t>香港專櫃課</t>
        </is>
      </c>
      <c r="B751" s="0" t="inlineStr">
        <is>
          <t>P0031</t>
        </is>
      </c>
      <c r="C751" s="0" t="inlineStr">
        <is>
          <t>梁綽恩</t>
        </is>
      </c>
      <c r="D751" s="0" t="inlineStr">
        <is>
          <t>2026/06/28</t>
        </is>
      </c>
      <c r="E751" s="0" t="inlineStr">
        <is>
          <t>月休</t>
        </is>
      </c>
      <c r="I751" s="0" t="n">
        <v>0</v>
      </c>
    </row>
    <row r="752">
      <c r="A752" s="0" t="inlineStr">
        <is>
          <t>香港專櫃課</t>
        </is>
      </c>
      <c r="B752" s="0" t="inlineStr">
        <is>
          <t>P0031</t>
        </is>
      </c>
      <c r="C752" s="0" t="inlineStr">
        <is>
          <t>梁綽恩</t>
        </is>
      </c>
      <c r="D752" s="0" t="inlineStr">
        <is>
          <t>2026/06/29</t>
        </is>
      </c>
      <c r="E752" s="0" t="inlineStr">
        <is>
          <t>上班</t>
        </is>
      </c>
      <c r="F752" s="0" t="inlineStr">
        <is>
          <t>香港ALL班</t>
        </is>
      </c>
      <c r="G752" s="0" t="inlineStr">
        <is>
          <t>10:30</t>
        </is>
      </c>
      <c r="H752" s="0" t="inlineStr">
        <is>
          <t>21:00</t>
        </is>
      </c>
      <c r="I752" s="0" t="n">
        <v>10.5</v>
      </c>
      <c r="J752" s="0" t="inlineStr">
        <is>
          <t>10:30</t>
        </is>
      </c>
      <c r="K752" s="0" t="inlineStr">
        <is>
          <t>21:00</t>
        </is>
      </c>
      <c r="L752" s="0" t="inlineStr">
        <is>
          <t>否</t>
        </is>
      </c>
    </row>
    <row r="753">
      <c r="A753" s="0" t="inlineStr">
        <is>
          <t>香港專櫃課</t>
        </is>
      </c>
      <c r="B753" s="0" t="inlineStr">
        <is>
          <t>P0031</t>
        </is>
      </c>
      <c r="C753" s="0" t="inlineStr">
        <is>
          <t>梁綽恩</t>
        </is>
      </c>
      <c r="D753" s="0" t="inlineStr">
        <is>
          <t>2026/06/30</t>
        </is>
      </c>
      <c r="E753" s="0" t="inlineStr">
        <is>
          <t>上班</t>
        </is>
      </c>
      <c r="F753" s="0" t="inlineStr">
        <is>
          <t>香港早班</t>
        </is>
      </c>
      <c r="G753" s="0" t="inlineStr">
        <is>
          <t>10:30</t>
        </is>
      </c>
      <c r="H753" s="0" t="inlineStr">
        <is>
          <t>16:30</t>
        </is>
      </c>
      <c r="I753" s="0" t="n">
        <v>6</v>
      </c>
      <c r="J753" s="0" t="inlineStr">
        <is>
          <t>10:30</t>
        </is>
      </c>
      <c r="K753" s="0" t="inlineStr">
        <is>
          <t>16:30</t>
        </is>
      </c>
      <c r="L753" s="0" t="inlineStr">
        <is>
          <t>否</t>
        </is>
      </c>
    </row>
    <row r="754">
      <c r="A754" s="0" t="inlineStr">
        <is>
          <t>香港專櫃課</t>
        </is>
      </c>
      <c r="B754" s="0" t="inlineStr">
        <is>
          <t>P0031</t>
        </is>
      </c>
      <c r="C754" s="0" t="inlineStr">
        <is>
          <t>梁綽恩</t>
        </is>
      </c>
      <c r="D754" s="0" t="inlineStr">
        <is>
          <t>2026/07/01</t>
        </is>
      </c>
      <c r="E754" s="0" t="inlineStr">
        <is>
          <t>上班</t>
        </is>
      </c>
      <c r="F754" s="0" t="inlineStr">
        <is>
          <t>香港ALL班</t>
        </is>
      </c>
      <c r="G754" s="0" t="inlineStr">
        <is>
          <t>10:30</t>
        </is>
      </c>
      <c r="H754" s="0" t="inlineStr">
        <is>
          <t>21:00</t>
        </is>
      </c>
      <c r="I754" s="0" t="n">
        <v>10.5</v>
      </c>
      <c r="J754" s="0" t="inlineStr">
        <is>
          <t>10:30</t>
        </is>
      </c>
      <c r="K754" s="0" t="inlineStr">
        <is>
          <t>21:00</t>
        </is>
      </c>
      <c r="L754" s="0" t="inlineStr">
        <is>
          <t>否</t>
        </is>
      </c>
    </row>
    <row r="755">
      <c r="A755" s="0" t="inlineStr">
        <is>
          <t>香港專櫃課</t>
        </is>
      </c>
      <c r="B755" s="0" t="inlineStr">
        <is>
          <t>P0031</t>
        </is>
      </c>
      <c r="C755" s="0" t="inlineStr">
        <is>
          <t>梁綽恩</t>
        </is>
      </c>
      <c r="D755" s="0" t="inlineStr">
        <is>
          <t>2026/07/02</t>
        </is>
      </c>
      <c r="E755" s="0" t="inlineStr">
        <is>
          <t>上班</t>
        </is>
      </c>
      <c r="F755" s="0" t="inlineStr">
        <is>
          <t>香港晚班</t>
        </is>
      </c>
      <c r="G755" s="0" t="inlineStr">
        <is>
          <t>16:00</t>
        </is>
      </c>
      <c r="H755" s="0" t="inlineStr">
        <is>
          <t>21:00</t>
        </is>
      </c>
      <c r="I755" s="0" t="n">
        <v>5</v>
      </c>
      <c r="J755" s="0" t="inlineStr">
        <is>
          <t>16:00</t>
        </is>
      </c>
      <c r="K755" s="0" t="inlineStr">
        <is>
          <t>21:00</t>
        </is>
      </c>
      <c r="L755" s="0" t="inlineStr">
        <is>
          <t>否</t>
        </is>
      </c>
    </row>
    <row r="756">
      <c r="A756" s="0" t="inlineStr">
        <is>
          <t>香港專櫃課</t>
        </is>
      </c>
      <c r="B756" s="0" t="inlineStr">
        <is>
          <t>P0031</t>
        </is>
      </c>
      <c r="C756" s="0" t="inlineStr">
        <is>
          <t>梁綽恩</t>
        </is>
      </c>
      <c r="D756" s="0" t="inlineStr">
        <is>
          <t>2026/07/03</t>
        </is>
      </c>
      <c r="E756" s="0" t="inlineStr">
        <is>
          <t>上班</t>
        </is>
      </c>
      <c r="F756" s="0" t="inlineStr">
        <is>
          <t>香港ALL班</t>
        </is>
      </c>
      <c r="G756" s="0" t="inlineStr">
        <is>
          <t>10:30</t>
        </is>
      </c>
      <c r="H756" s="0" t="inlineStr">
        <is>
          <t>21:00</t>
        </is>
      </c>
      <c r="I756" s="0" t="n">
        <v>10.5</v>
      </c>
      <c r="J756" s="0" t="inlineStr">
        <is>
          <t>10:30</t>
        </is>
      </c>
      <c r="K756" s="0" t="inlineStr">
        <is>
          <t>21:00</t>
        </is>
      </c>
      <c r="L756" s="0" t="inlineStr">
        <is>
          <t>否</t>
        </is>
      </c>
    </row>
    <row r="757">
      <c r="A757" s="0" t="inlineStr">
        <is>
          <t>香港專櫃課</t>
        </is>
      </c>
      <c r="B757" s="0" t="inlineStr">
        <is>
          <t>P0031</t>
        </is>
      </c>
      <c r="C757" s="0" t="inlineStr">
        <is>
          <t>梁綽恩</t>
        </is>
      </c>
      <c r="D757" s="0" t="inlineStr">
        <is>
          <t>2026/07/04</t>
        </is>
      </c>
      <c r="E757" s="0" t="inlineStr">
        <is>
          <t>上班</t>
        </is>
      </c>
      <c r="F757" s="0" t="inlineStr">
        <is>
          <t>香港晚班</t>
        </is>
      </c>
      <c r="G757" s="0" t="inlineStr">
        <is>
          <t>16:00</t>
        </is>
      </c>
      <c r="H757" s="0" t="inlineStr">
        <is>
          <t>21:00</t>
        </is>
      </c>
      <c r="I757" s="0" t="n">
        <v>5</v>
      </c>
      <c r="J757" s="0" t="inlineStr">
        <is>
          <t>16:00</t>
        </is>
      </c>
      <c r="K757" s="0" t="inlineStr">
        <is>
          <t>21:00</t>
        </is>
      </c>
      <c r="L757" s="0" t="inlineStr">
        <is>
          <t>否</t>
        </is>
      </c>
    </row>
    <row r="758">
      <c r="A758" s="0" t="inlineStr">
        <is>
          <t>香港專櫃課</t>
        </is>
      </c>
      <c r="B758" s="0" t="inlineStr">
        <is>
          <t>P0031</t>
        </is>
      </c>
      <c r="C758" s="0" t="inlineStr">
        <is>
          <t>梁綽恩</t>
        </is>
      </c>
      <c r="D758" s="0" t="inlineStr">
        <is>
          <t>2026/07/05</t>
        </is>
      </c>
      <c r="E758" s="0" t="inlineStr">
        <is>
          <t>上班</t>
        </is>
      </c>
      <c r="F758" s="0" t="inlineStr">
        <is>
          <t>香港晚班</t>
        </is>
      </c>
      <c r="G758" s="0" t="inlineStr">
        <is>
          <t>16:00</t>
        </is>
      </c>
      <c r="H758" s="0" t="inlineStr">
        <is>
          <t>21:00</t>
        </is>
      </c>
      <c r="I758" s="0" t="n">
        <v>5</v>
      </c>
      <c r="J758" s="0" t="inlineStr">
        <is>
          <t>16:00</t>
        </is>
      </c>
      <c r="K758" s="0" t="inlineStr">
        <is>
          <t>21:00</t>
        </is>
      </c>
      <c r="L758" s="0" t="inlineStr">
        <is>
          <t>否</t>
        </is>
      </c>
    </row>
    <row r="759">
      <c r="A759" s="0" t="inlineStr">
        <is>
          <t>香港專櫃課</t>
        </is>
      </c>
      <c r="B759" s="0" t="inlineStr">
        <is>
          <t>P0031</t>
        </is>
      </c>
      <c r="C759" s="0" t="inlineStr">
        <is>
          <t>梁綽恩</t>
        </is>
      </c>
      <c r="D759" s="0" t="inlineStr">
        <is>
          <t>2026/07/06</t>
        </is>
      </c>
      <c r="I759" s="0" t="n">
        <v>0</v>
      </c>
    </row>
    <row r="760">
      <c r="A760" s="0" t="inlineStr">
        <is>
          <t>香港專櫃課</t>
        </is>
      </c>
      <c r="B760" s="0" t="inlineStr">
        <is>
          <t>P0031</t>
        </is>
      </c>
      <c r="C760" s="0" t="inlineStr">
        <is>
          <t>梁綽恩</t>
        </is>
      </c>
      <c r="D760" s="0" t="inlineStr">
        <is>
          <t>2026/07/07</t>
        </is>
      </c>
      <c r="E760" s="0" t="inlineStr">
        <is>
          <t>上班</t>
        </is>
      </c>
      <c r="F760" s="0" t="inlineStr">
        <is>
          <t>香港早班</t>
        </is>
      </c>
      <c r="G760" s="0" t="inlineStr">
        <is>
          <t>12:00</t>
        </is>
      </c>
      <c r="H760" s="0" t="inlineStr">
        <is>
          <t>16:30</t>
        </is>
      </c>
      <c r="I760" s="0" t="n">
        <v>4.5</v>
      </c>
      <c r="J760" s="0" t="inlineStr">
        <is>
          <t>12:00</t>
        </is>
      </c>
      <c r="K760" s="0" t="inlineStr">
        <is>
          <t>16:30</t>
        </is>
      </c>
      <c r="L760" s="0" t="inlineStr">
        <is>
          <t>否</t>
        </is>
      </c>
    </row>
    <row r="761">
      <c r="A761" s="0" t="inlineStr">
        <is>
          <t>香港專櫃課</t>
        </is>
      </c>
      <c r="B761" s="0" t="inlineStr">
        <is>
          <t>P0031</t>
        </is>
      </c>
      <c r="C761" s="0" t="inlineStr">
        <is>
          <t>梁綽恩</t>
        </is>
      </c>
      <c r="D761" s="0" t="inlineStr">
        <is>
          <t>2026/07/08</t>
        </is>
      </c>
      <c r="E761" s="0" t="inlineStr">
        <is>
          <t>上班</t>
        </is>
      </c>
      <c r="F761" s="0" t="inlineStr">
        <is>
          <t>香港ALL班</t>
        </is>
      </c>
      <c r="G761" s="0" t="inlineStr">
        <is>
          <t>10:30</t>
        </is>
      </c>
      <c r="H761" s="0" t="inlineStr">
        <is>
          <t>21:00</t>
        </is>
      </c>
      <c r="I761" s="0" t="n">
        <v>10.5</v>
      </c>
      <c r="J761" s="0" t="inlineStr">
        <is>
          <t>10:30</t>
        </is>
      </c>
      <c r="K761" s="0" t="inlineStr">
        <is>
          <t>21:00</t>
        </is>
      </c>
      <c r="L761" s="0" t="inlineStr">
        <is>
          <t>否</t>
        </is>
      </c>
    </row>
    <row r="762">
      <c r="A762" s="0" t="inlineStr">
        <is>
          <t>香港專櫃課</t>
        </is>
      </c>
      <c r="B762" s="0" t="inlineStr">
        <is>
          <t>P0031</t>
        </is>
      </c>
      <c r="C762" s="0" t="inlineStr">
        <is>
          <t>梁綽恩</t>
        </is>
      </c>
      <c r="D762" s="0" t="inlineStr">
        <is>
          <t>2026/07/09</t>
        </is>
      </c>
      <c r="I762" s="0" t="n">
        <v>0</v>
      </c>
    </row>
    <row r="763">
      <c r="A763" s="0" t="inlineStr">
        <is>
          <t>香港專櫃課</t>
        </is>
      </c>
      <c r="B763" s="0" t="inlineStr">
        <is>
          <t>P0031</t>
        </is>
      </c>
      <c r="C763" s="0" t="inlineStr">
        <is>
          <t>梁綽恩</t>
        </is>
      </c>
      <c r="D763" s="0" t="inlineStr">
        <is>
          <t>2026/07/10</t>
        </is>
      </c>
      <c r="I763" s="0" t="n">
        <v>0</v>
      </c>
    </row>
    <row r="764">
      <c r="A764" s="0" t="inlineStr">
        <is>
          <t>香港專櫃課</t>
        </is>
      </c>
      <c r="B764" s="0" t="inlineStr">
        <is>
          <t>P0031</t>
        </is>
      </c>
      <c r="C764" s="0" t="inlineStr">
        <is>
          <t>梁綽恩</t>
        </is>
      </c>
      <c r="D764" s="0" t="inlineStr">
        <is>
          <t>2026/07/11</t>
        </is>
      </c>
      <c r="I764" s="0" t="n">
        <v>0</v>
      </c>
    </row>
    <row r="765">
      <c r="A765" s="0" t="inlineStr">
        <is>
          <t>香港專櫃課</t>
        </is>
      </c>
      <c r="B765" s="0" t="inlineStr">
        <is>
          <t>P0031</t>
        </is>
      </c>
      <c r="C765" s="0" t="inlineStr">
        <is>
          <t>梁綽恩</t>
        </is>
      </c>
      <c r="D765" s="0" t="inlineStr">
        <is>
          <t>2026/07/12</t>
        </is>
      </c>
      <c r="I765" s="0" t="n">
        <v>0</v>
      </c>
    </row>
    <row r="766">
      <c r="A766" s="0" t="inlineStr">
        <is>
          <t>香港專櫃課</t>
        </is>
      </c>
      <c r="B766" s="0" t="inlineStr">
        <is>
          <t>P0031</t>
        </is>
      </c>
      <c r="C766" s="0" t="inlineStr">
        <is>
          <t>梁綽恩</t>
        </is>
      </c>
      <c r="D766" s="0" t="inlineStr">
        <is>
          <t>2026/07/13</t>
        </is>
      </c>
      <c r="I766" s="0" t="n">
        <v>0</v>
      </c>
    </row>
    <row r="767">
      <c r="A767" s="0" t="inlineStr">
        <is>
          <t>香港專櫃課</t>
        </is>
      </c>
      <c r="B767" s="0" t="inlineStr">
        <is>
          <t>P0031</t>
        </is>
      </c>
      <c r="C767" s="0" t="inlineStr">
        <is>
          <t>梁綽恩</t>
        </is>
      </c>
      <c r="D767" s="0" t="inlineStr">
        <is>
          <t>2026/07/14</t>
        </is>
      </c>
      <c r="I767" s="0" t="n">
        <v>0</v>
      </c>
    </row>
    <row r="768">
      <c r="A768" s="0" t="inlineStr">
        <is>
          <t>香港專櫃課</t>
        </is>
      </c>
      <c r="B768" s="0" t="inlineStr">
        <is>
          <t>P0031</t>
        </is>
      </c>
      <c r="C768" s="0" t="inlineStr">
        <is>
          <t>梁綽恩</t>
        </is>
      </c>
      <c r="D768" s="0" t="inlineStr">
        <is>
          <t>2026/07/15</t>
        </is>
      </c>
      <c r="E768" s="0" t="inlineStr">
        <is>
          <t>上班</t>
        </is>
      </c>
      <c r="F768" s="0" t="inlineStr">
        <is>
          <t>香港ALL班</t>
        </is>
      </c>
      <c r="G768" s="0" t="inlineStr">
        <is>
          <t>10:30</t>
        </is>
      </c>
      <c r="H768" s="0" t="inlineStr">
        <is>
          <t>21:00</t>
        </is>
      </c>
      <c r="I768" s="0" t="n">
        <v>10.5</v>
      </c>
      <c r="J768" s="0" t="inlineStr">
        <is>
          <t>10:30</t>
        </is>
      </c>
      <c r="K768" s="0" t="inlineStr">
        <is>
          <t>21:00</t>
        </is>
      </c>
      <c r="L768" s="0" t="inlineStr">
        <is>
          <t>否</t>
        </is>
      </c>
    </row>
    <row r="769">
      <c r="A769" s="0" t="inlineStr">
        <is>
          <t>香港專櫃課</t>
        </is>
      </c>
      <c r="B769" s="0" t="inlineStr">
        <is>
          <t>P0031</t>
        </is>
      </c>
      <c r="C769" s="0" t="inlineStr">
        <is>
          <t>梁綽恩</t>
        </is>
      </c>
      <c r="D769" s="0" t="inlineStr">
        <is>
          <t>2026/07/16</t>
        </is>
      </c>
      <c r="E769" s="0" t="inlineStr">
        <is>
          <t>上班</t>
        </is>
      </c>
      <c r="F769" s="0" t="inlineStr">
        <is>
          <t>香港ALL班</t>
        </is>
      </c>
      <c r="G769" s="0" t="inlineStr">
        <is>
          <t>10:30</t>
        </is>
      </c>
      <c r="H769" s="0" t="inlineStr">
        <is>
          <t>21:00</t>
        </is>
      </c>
      <c r="I769" s="0" t="n">
        <v>10.5</v>
      </c>
      <c r="J769" s="0" t="inlineStr">
        <is>
          <t>10:30</t>
        </is>
      </c>
      <c r="K769" s="0" t="inlineStr">
        <is>
          <t>21:00</t>
        </is>
      </c>
      <c r="L769" s="0" t="inlineStr">
        <is>
          <t>否</t>
        </is>
      </c>
    </row>
    <row r="770">
      <c r="A770" s="0" t="inlineStr">
        <is>
          <t>香港專櫃課</t>
        </is>
      </c>
      <c r="B770" s="0" t="inlineStr">
        <is>
          <t>P0031</t>
        </is>
      </c>
      <c r="C770" s="0" t="inlineStr">
        <is>
          <t>梁綽恩</t>
        </is>
      </c>
      <c r="D770" s="0" t="inlineStr">
        <is>
          <t>2026/07/17</t>
        </is>
      </c>
      <c r="I770" s="0" t="n">
        <v>0</v>
      </c>
    </row>
    <row r="771">
      <c r="A771" s="0" t="inlineStr">
        <is>
          <t>香港專櫃課</t>
        </is>
      </c>
      <c r="B771" s="0" t="inlineStr">
        <is>
          <t>P0031</t>
        </is>
      </c>
      <c r="C771" s="0" t="inlineStr">
        <is>
          <t>梁綽恩</t>
        </is>
      </c>
      <c r="D771" s="0" t="inlineStr">
        <is>
          <t>2026/07/18</t>
        </is>
      </c>
      <c r="E771" s="0" t="inlineStr">
        <is>
          <t>上班</t>
        </is>
      </c>
      <c r="F771" s="0" t="inlineStr">
        <is>
          <t>香港早班</t>
        </is>
      </c>
      <c r="G771" s="0" t="inlineStr">
        <is>
          <t>10:30</t>
        </is>
      </c>
      <c r="H771" s="0" t="inlineStr">
        <is>
          <t>16:30</t>
        </is>
      </c>
      <c r="I771" s="0" t="n">
        <v>6</v>
      </c>
      <c r="J771" s="0" t="inlineStr">
        <is>
          <t>10:30</t>
        </is>
      </c>
      <c r="K771" s="0" t="inlineStr">
        <is>
          <t>16:30</t>
        </is>
      </c>
      <c r="L771" s="0" t="inlineStr">
        <is>
          <t>否</t>
        </is>
      </c>
    </row>
    <row r="772">
      <c r="A772" s="0" t="inlineStr">
        <is>
          <t>香港專櫃課</t>
        </is>
      </c>
      <c r="B772" s="0" t="inlineStr">
        <is>
          <t>P0031</t>
        </is>
      </c>
      <c r="C772" s="0" t="inlineStr">
        <is>
          <t>梁綽恩</t>
        </is>
      </c>
      <c r="D772" s="0" t="inlineStr">
        <is>
          <t>2026/07/19</t>
        </is>
      </c>
      <c r="I772" s="0" t="n">
        <v>0</v>
      </c>
    </row>
    <row r="773">
      <c r="A773" s="0" t="inlineStr">
        <is>
          <t>香港專櫃課</t>
        </is>
      </c>
      <c r="B773" s="0" t="inlineStr">
        <is>
          <t>P0031</t>
        </is>
      </c>
      <c r="C773" s="0" t="inlineStr">
        <is>
          <t>梁綽恩</t>
        </is>
      </c>
      <c r="D773" s="0" t="inlineStr">
        <is>
          <t>2026/07/20</t>
        </is>
      </c>
      <c r="E773" s="0" t="inlineStr">
        <is>
          <t>上班</t>
        </is>
      </c>
      <c r="F773" s="0" t="inlineStr">
        <is>
          <t>香港晚班</t>
        </is>
      </c>
      <c r="G773" s="0" t="inlineStr">
        <is>
          <t>16:00</t>
        </is>
      </c>
      <c r="H773" s="0" t="inlineStr">
        <is>
          <t>21:00</t>
        </is>
      </c>
      <c r="I773" s="0" t="n">
        <v>5</v>
      </c>
      <c r="J773" s="0" t="inlineStr">
        <is>
          <t>16:00</t>
        </is>
      </c>
      <c r="K773" s="0" t="inlineStr">
        <is>
          <t>21:00</t>
        </is>
      </c>
      <c r="L773" s="0" t="inlineStr">
        <is>
          <t>否</t>
        </is>
      </c>
    </row>
    <row r="774">
      <c r="A774" s="0" t="inlineStr">
        <is>
          <t>香港專櫃課</t>
        </is>
      </c>
      <c r="B774" s="0" t="inlineStr">
        <is>
          <t>P0031</t>
        </is>
      </c>
      <c r="C774" s="0" t="inlineStr">
        <is>
          <t>梁綽恩</t>
        </is>
      </c>
      <c r="D774" s="0" t="inlineStr">
        <is>
          <t>2026/07/21</t>
        </is>
      </c>
      <c r="E774" s="0" t="inlineStr">
        <is>
          <t>上班</t>
        </is>
      </c>
      <c r="F774" s="0" t="inlineStr">
        <is>
          <t>香港晚班</t>
        </is>
      </c>
      <c r="G774" s="0" t="inlineStr">
        <is>
          <t>16:00</t>
        </is>
      </c>
      <c r="H774" s="0" t="inlineStr">
        <is>
          <t>21:00</t>
        </is>
      </c>
      <c r="I774" s="0" t="n">
        <v>5</v>
      </c>
      <c r="J774" s="0" t="inlineStr">
        <is>
          <t>16:00</t>
        </is>
      </c>
      <c r="K774" s="0" t="inlineStr">
        <is>
          <t>21:00</t>
        </is>
      </c>
      <c r="L774" s="0" t="inlineStr">
        <is>
          <t>否</t>
        </is>
      </c>
    </row>
    <row r="775">
      <c r="A775" s="0" t="inlineStr">
        <is>
          <t>香港專櫃課</t>
        </is>
      </c>
      <c r="B775" s="0" t="inlineStr">
        <is>
          <t>P0031</t>
        </is>
      </c>
      <c r="C775" s="0" t="inlineStr">
        <is>
          <t>梁綽恩</t>
        </is>
      </c>
      <c r="D775" s="0" t="inlineStr">
        <is>
          <t>2026/07/22</t>
        </is>
      </c>
      <c r="I775" s="0" t="n">
        <v>0</v>
      </c>
    </row>
    <row r="776">
      <c r="A776" s="0" t="inlineStr">
        <is>
          <t>香港專櫃課</t>
        </is>
      </c>
      <c r="B776" s="0" t="inlineStr">
        <is>
          <t>P0031</t>
        </is>
      </c>
      <c r="C776" s="0" t="inlineStr">
        <is>
          <t>梁綽恩</t>
        </is>
      </c>
      <c r="D776" s="0" t="inlineStr">
        <is>
          <t>2026/07/23</t>
        </is>
      </c>
      <c r="E776" s="0" t="inlineStr">
        <is>
          <t>上班</t>
        </is>
      </c>
      <c r="F776" s="0" t="inlineStr">
        <is>
          <t>香港早班</t>
        </is>
      </c>
      <c r="G776" s="0" t="inlineStr">
        <is>
          <t>10:30</t>
        </is>
      </c>
      <c r="H776" s="0" t="inlineStr">
        <is>
          <t>16:30</t>
        </is>
      </c>
      <c r="I776" s="0" t="n">
        <v>6</v>
      </c>
      <c r="J776" s="0" t="inlineStr">
        <is>
          <t>10:30</t>
        </is>
      </c>
      <c r="K776" s="0" t="inlineStr">
        <is>
          <t>16:30</t>
        </is>
      </c>
      <c r="L776" s="0" t="inlineStr">
        <is>
          <t>否</t>
        </is>
      </c>
    </row>
    <row r="777">
      <c r="A777" s="0" t="inlineStr">
        <is>
          <t>香港專櫃課</t>
        </is>
      </c>
      <c r="B777" s="0" t="inlineStr">
        <is>
          <t>P0031</t>
        </is>
      </c>
      <c r="C777" s="0" t="inlineStr">
        <is>
          <t>梁綽恩</t>
        </is>
      </c>
      <c r="D777" s="0" t="inlineStr">
        <is>
          <t>2026/07/24</t>
        </is>
      </c>
      <c r="E777" s="0" t="inlineStr">
        <is>
          <t>上班</t>
        </is>
      </c>
      <c r="F777" s="0" t="inlineStr">
        <is>
          <t>香港ALL班</t>
        </is>
      </c>
      <c r="G777" s="0" t="inlineStr">
        <is>
          <t>10:30</t>
        </is>
      </c>
      <c r="H777" s="0" t="inlineStr">
        <is>
          <t>21:00</t>
        </is>
      </c>
      <c r="I777" s="0" t="n">
        <v>10.5</v>
      </c>
      <c r="J777" s="0" t="inlineStr">
        <is>
          <t>10:30</t>
        </is>
      </c>
      <c r="K777" s="0" t="inlineStr">
        <is>
          <t>21:00</t>
        </is>
      </c>
      <c r="L777" s="0" t="inlineStr">
        <is>
          <t>否</t>
        </is>
      </c>
    </row>
    <row r="778">
      <c r="A778" s="0" t="inlineStr">
        <is>
          <t>香港專櫃課</t>
        </is>
      </c>
      <c r="B778" s="0" t="inlineStr">
        <is>
          <t>P0031</t>
        </is>
      </c>
      <c r="C778" s="0" t="inlineStr">
        <is>
          <t>梁綽恩</t>
        </is>
      </c>
      <c r="D778" s="0" t="inlineStr">
        <is>
          <t>2026/07/25</t>
        </is>
      </c>
      <c r="I778" s="0" t="n">
        <v>0</v>
      </c>
    </row>
    <row r="779">
      <c r="A779" s="0" t="inlineStr">
        <is>
          <t>香港專櫃課</t>
        </is>
      </c>
      <c r="B779" s="0" t="inlineStr">
        <is>
          <t>P0031</t>
        </is>
      </c>
      <c r="C779" s="0" t="inlineStr">
        <is>
          <t>梁綽恩</t>
        </is>
      </c>
      <c r="D779" s="0" t="inlineStr">
        <is>
          <t>2026/07/26</t>
        </is>
      </c>
      <c r="E779" s="0" t="inlineStr">
        <is>
          <t>上班</t>
        </is>
      </c>
      <c r="F779" s="0" t="inlineStr">
        <is>
          <t>香港早班</t>
        </is>
      </c>
      <c r="G779" s="0" t="inlineStr">
        <is>
          <t>10:30</t>
        </is>
      </c>
      <c r="H779" s="0" t="inlineStr">
        <is>
          <t>16:30</t>
        </is>
      </c>
      <c r="I779" s="0" t="n">
        <v>6</v>
      </c>
      <c r="J779" s="0" t="inlineStr">
        <is>
          <t>10:30</t>
        </is>
      </c>
      <c r="K779" s="0" t="inlineStr">
        <is>
          <t>16:30</t>
        </is>
      </c>
      <c r="L779" s="0" t="inlineStr">
        <is>
          <t>否</t>
        </is>
      </c>
    </row>
    <row r="780">
      <c r="A780" s="0" t="inlineStr">
        <is>
          <t>香港專櫃課</t>
        </is>
      </c>
      <c r="B780" s="0" t="inlineStr">
        <is>
          <t>P0031</t>
        </is>
      </c>
      <c r="C780" s="0" t="inlineStr">
        <is>
          <t>梁綽恩</t>
        </is>
      </c>
      <c r="D780" s="0" t="inlineStr">
        <is>
          <t>2026/07/27</t>
        </is>
      </c>
      <c r="E780" s="0" t="inlineStr">
        <is>
          <t>上班</t>
        </is>
      </c>
      <c r="F780" s="0" t="inlineStr">
        <is>
          <t>香港晚班</t>
        </is>
      </c>
      <c r="G780" s="0" t="inlineStr">
        <is>
          <t>16:00</t>
        </is>
      </c>
      <c r="H780" s="0" t="inlineStr">
        <is>
          <t>21:00</t>
        </is>
      </c>
      <c r="I780" s="0" t="n">
        <v>5</v>
      </c>
      <c r="J780" s="0" t="inlineStr">
        <is>
          <t>16:00</t>
        </is>
      </c>
      <c r="K780" s="0" t="inlineStr">
        <is>
          <t>21:00</t>
        </is>
      </c>
      <c r="L780" s="0" t="inlineStr">
        <is>
          <t>否</t>
        </is>
      </c>
    </row>
    <row r="781">
      <c r="A781" s="0" t="inlineStr">
        <is>
          <t>香港專櫃課</t>
        </is>
      </c>
      <c r="B781" s="0" t="inlineStr">
        <is>
          <t>P0031</t>
        </is>
      </c>
      <c r="C781" s="0" t="inlineStr">
        <is>
          <t>梁綽恩</t>
        </is>
      </c>
      <c r="D781" s="0" t="inlineStr">
        <is>
          <t>2026/07/28</t>
        </is>
      </c>
      <c r="I781" s="0" t="n">
        <v>0</v>
      </c>
    </row>
    <row r="782">
      <c r="A782" s="0" t="inlineStr">
        <is>
          <t>香港專櫃課</t>
        </is>
      </c>
      <c r="B782" s="0" t="inlineStr">
        <is>
          <t>P0031</t>
        </is>
      </c>
      <c r="C782" s="0" t="inlineStr">
        <is>
          <t>梁綽恩</t>
        </is>
      </c>
      <c r="D782" s="0" t="inlineStr">
        <is>
          <t>2026/07/29</t>
        </is>
      </c>
      <c r="E782" s="0" t="inlineStr">
        <is>
          <t>上班</t>
        </is>
      </c>
      <c r="F782" s="0" t="inlineStr">
        <is>
          <t>香港ALL班</t>
        </is>
      </c>
      <c r="G782" s="0" t="inlineStr">
        <is>
          <t>10:30</t>
        </is>
      </c>
      <c r="H782" s="0" t="inlineStr">
        <is>
          <t>21:00</t>
        </is>
      </c>
      <c r="I782" s="0" t="n">
        <v>10.5</v>
      </c>
      <c r="J782" s="0" t="inlineStr">
        <is>
          <t>10:30</t>
        </is>
      </c>
      <c r="K782" s="0" t="inlineStr">
        <is>
          <t>21:00</t>
        </is>
      </c>
      <c r="L782" s="0" t="inlineStr">
        <is>
          <t>否</t>
        </is>
      </c>
    </row>
    <row r="783">
      <c r="A783" s="0" t="inlineStr">
        <is>
          <t>香港專櫃課</t>
        </is>
      </c>
      <c r="B783" s="0" t="inlineStr">
        <is>
          <t>P0031</t>
        </is>
      </c>
      <c r="C783" s="0" t="inlineStr">
        <is>
          <t>梁綽恩</t>
        </is>
      </c>
      <c r="D783" s="0" t="inlineStr">
        <is>
          <t>2026/07/30</t>
        </is>
      </c>
      <c r="I783" s="0" t="n">
        <v>0</v>
      </c>
    </row>
    <row r="784">
      <c r="A784" s="0" t="inlineStr">
        <is>
          <t>香港專櫃課</t>
        </is>
      </c>
      <c r="B784" s="0" t="inlineStr">
        <is>
          <t>P0031</t>
        </is>
      </c>
      <c r="C784" s="0" t="inlineStr">
        <is>
          <t>梁綽恩</t>
        </is>
      </c>
      <c r="D784" s="0" t="inlineStr">
        <is>
          <t>2026/07/31</t>
        </is>
      </c>
      <c r="E784" s="0" t="inlineStr">
        <is>
          <t>上班</t>
        </is>
      </c>
      <c r="F784" s="0" t="inlineStr">
        <is>
          <t>香港ALL班</t>
        </is>
      </c>
      <c r="G784" s="0" t="inlineStr">
        <is>
          <t>10:30</t>
        </is>
      </c>
      <c r="H784" s="0" t="inlineStr">
        <is>
          <t>21:00</t>
        </is>
      </c>
      <c r="I784" s="0" t="n">
        <v>10.5</v>
      </c>
      <c r="J784" s="0" t="inlineStr">
        <is>
          <t>10:30</t>
        </is>
      </c>
      <c r="K784" s="0" t="inlineStr">
        <is>
          <t>21:00</t>
        </is>
      </c>
      <c r="L784" s="0" t="inlineStr">
        <is>
          <t>否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2026-08-03T09:57:53Z</dcterms:created>
  <dcterms:modified xsi:type="dcterms:W3CDTF">2026-08-03T10:44:11Z</dcterms:modified>
  <cp:lastModifiedBy>匯安 簡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2.1.3</vt:lpwstr>
  </property>
</Properties>
</file>