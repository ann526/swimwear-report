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損益表" sheetId="1" state="visible" r:id="rId3"/>
    <sheet name="科目明細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<sst xmlns="http://schemas.openxmlformats.org/spreadsheetml/2006/main" count="493" uniqueCount="278">
  <si>
    <r>
      <rPr>
        <b val="true"/>
        <sz val="15"/>
        <color rgb="FF0F172A"/>
        <rFont val="Arial"/>
        <family val="0"/>
        <charset val="1"/>
      </rPr>
      <t xml:space="preserve">HAI Swimwear · 8</t>
    </r>
    <r>
      <rPr>
        <b val="true"/>
        <sz val="15"/>
        <color rgb="FF0F172A"/>
        <rFont val="WenQuanYi Zen Hei"/>
        <family val="2"/>
      </rPr>
      <t xml:space="preserve">月損益表</t>
    </r>
  </si>
  <si>
    <r>
      <rPr>
        <i val="true"/>
        <sz val="10"/>
        <color rgb="FF475569"/>
        <rFont val="Arial"/>
        <family val="0"/>
        <charset val="1"/>
      </rPr>
      <t xml:space="preserve">2026/08/01 – 2026/08/31 · </t>
    </r>
    <r>
      <rPr>
        <i val="true"/>
        <sz val="10"/>
        <color rgb="FF475569"/>
        <rFont val="WenQuanYi Zen Hei"/>
        <family val="2"/>
      </rPr>
      <t xml:space="preserve">新台幣（</t>
    </r>
    <r>
      <rPr>
        <i val="true"/>
        <sz val="10"/>
        <color rgb="FF475569"/>
        <rFont val="Arial"/>
        <family val="0"/>
        <charset val="1"/>
      </rPr>
      <t xml:space="preserve">NTD</t>
    </r>
    <r>
      <rPr>
        <i val="true"/>
        <sz val="10"/>
        <color rgb="FF475569"/>
        <rFont val="WenQuanYi Zen Hei"/>
        <family val="2"/>
      </rPr>
      <t xml:space="preserve">）</t>
    </r>
  </si>
  <si>
    <t xml:space="preserve">會計項目</t>
  </si>
  <si>
    <t xml:space="preserve">金額</t>
  </si>
  <si>
    <t xml:space="preserve">%</t>
  </si>
  <si>
    <t xml:space="preserve">備註／資料來源</t>
  </si>
  <si>
    <t xml:space="preserve">營業收入</t>
  </si>
  <si>
    <t xml:space="preserve">   銷貨收入</t>
  </si>
  <si>
    <t xml:space="preserve">通路損益表，實際數</t>
  </si>
  <si>
    <t xml:space="preserve">   營業收入（員工購物金＋上海銷貨收入）</t>
  </si>
  <si>
    <t xml:space="preserve">薪資單／微信支付，實際數</t>
  </si>
  <si>
    <t xml:space="preserve">   服務收入</t>
  </si>
  <si>
    <t xml:space="preserve">   銷貨退回</t>
  </si>
  <si>
    <t xml:space="preserve">   銷貨折讓－大遠百三店抽成</t>
  </si>
  <si>
    <t xml:space="preserve">遠百對帳單，實際數</t>
  </si>
  <si>
    <t xml:space="preserve">   銷貨折讓－外點抽成</t>
  </si>
  <si>
    <t xml:space="preserve">營業收入總計</t>
  </si>
  <si>
    <t xml:space="preserve">營業成本</t>
  </si>
  <si>
    <t xml:space="preserve">   銷貨成本</t>
  </si>
  <si>
    <t xml:space="preserve">   進貨</t>
  </si>
  <si>
    <t xml:space="preserve">   進貨退出／進貨折讓</t>
  </si>
  <si>
    <t xml:space="preserve">   勞務成本</t>
  </si>
  <si>
    <t xml:space="preserve">   其他成本</t>
  </si>
  <si>
    <t xml:space="preserve">支付明細表／微信支付，實際數</t>
  </si>
  <si>
    <t xml:space="preserve">營業成本總計</t>
  </si>
  <si>
    <t xml:space="preserve">營業毛利</t>
  </si>
  <si>
    <t xml:space="preserve">營業費用</t>
  </si>
  <si>
    <r>
      <rPr>
        <sz val="10"/>
        <color rgb="FF0F172A"/>
        <rFont val="WenQuanYi Zen Hei"/>
        <family val="2"/>
      </rPr>
      <t xml:space="preserve">   薪資支出－台灣（含</t>
    </r>
    <r>
      <rPr>
        <sz val="10"/>
        <color rgb="FF0F172A"/>
        <rFont val="Arial"/>
        <family val="0"/>
        <charset val="1"/>
      </rPr>
      <t xml:space="preserve">Heidi</t>
    </r>
    <r>
      <rPr>
        <sz val="10"/>
        <color rgb="FF0F172A"/>
        <rFont val="WenQuanYi Zen Hei"/>
        <family val="2"/>
      </rPr>
      <t xml:space="preserve">代班）</t>
    </r>
  </si>
  <si>
    <t xml:space="preserve">台灣員工薪資單，實際數</t>
  </si>
  <si>
    <r>
      <rPr>
        <sz val="10"/>
        <color rgb="FF0F172A"/>
        <rFont val="WenQuanYi Zen Hei"/>
        <family val="2"/>
      </rPr>
      <t xml:space="preserve">   薪資支出－香港（匯率</t>
    </r>
    <r>
      <rPr>
        <sz val="10"/>
        <color rgb="FF0F172A"/>
        <rFont val="Arial"/>
        <family val="0"/>
        <charset val="1"/>
      </rPr>
      <t xml:space="preserve">4</t>
    </r>
    <r>
      <rPr>
        <sz val="10"/>
        <color rgb="FF0F172A"/>
        <rFont val="WenQuanYi Zen Hei"/>
        <family val="2"/>
      </rPr>
      <t xml:space="preserve">）</t>
    </r>
  </si>
  <si>
    <t xml:space="preserve">香港員工薪資單，實際數</t>
  </si>
  <si>
    <t xml:space="preserve">   薪資支出－公司提繳</t>
  </si>
  <si>
    <r>
      <rPr>
        <sz val="10"/>
        <color rgb="FF0F172A"/>
        <rFont val="WenQuanYi Zen Hei"/>
        <family val="2"/>
      </rPr>
      <t xml:space="preserve">   租金支出（香港</t>
    </r>
    <r>
      <rPr>
        <sz val="10"/>
        <color rgb="FF0F172A"/>
        <rFont val="Arial"/>
        <family val="0"/>
        <charset val="1"/>
      </rPr>
      <t xml:space="preserve">Harbour City</t>
    </r>
    <r>
      <rPr>
        <sz val="10"/>
        <color rgb="FF0F172A"/>
        <rFont val="WenQuanYi Zen Hei"/>
        <family val="2"/>
      </rPr>
      <t xml:space="preserve">＋台灣小倉庫）</t>
    </r>
  </si>
  <si>
    <t xml:space="preserve">香港支付明細／玉山活存，實際數</t>
  </si>
  <si>
    <t xml:space="preserve">   文具用品</t>
  </si>
  <si>
    <t xml:space="preserve">微信支付，實際數</t>
  </si>
  <si>
    <r>
      <rPr>
        <sz val="10"/>
        <color rgb="FF0F172A"/>
        <rFont val="WenQuanYi Zen Hei"/>
        <family val="2"/>
      </rPr>
      <t xml:space="preserve">   旅費（林亞瑩</t>
    </r>
    <r>
      <rPr>
        <sz val="10"/>
        <color rgb="FF0F172A"/>
        <rFont val="Arial"/>
        <family val="0"/>
        <charset val="1"/>
      </rPr>
      <t xml:space="preserve">8</t>
    </r>
    <r>
      <rPr>
        <sz val="10"/>
        <color rgb="FF0F172A"/>
        <rFont val="WenQuanYi Zen Hei"/>
        <family val="2"/>
      </rPr>
      <t xml:space="preserve">月香港出差代墊）</t>
    </r>
  </si>
  <si>
    <t xml:space="preserve">員工代墊明細</t>
  </si>
  <si>
    <t xml:space="preserve">   運費（含各櫃零用金）</t>
  </si>
  <si>
    <t xml:space="preserve">支付明細表／零用金表</t>
  </si>
  <si>
    <t xml:space="preserve">   郵電費</t>
  </si>
  <si>
    <t xml:space="preserve">玉山信用卡</t>
  </si>
  <si>
    <t xml:space="preserve">   修繕費</t>
  </si>
  <si>
    <r>
      <rPr>
        <sz val="10"/>
        <color rgb="FF0F172A"/>
        <rFont val="WenQuanYi Zen Hei"/>
        <family val="2"/>
      </rPr>
      <t xml:space="preserve">   廣告費（</t>
    </r>
    <r>
      <rPr>
        <sz val="10"/>
        <color rgb="FF0F172A"/>
        <rFont val="Arial"/>
        <family val="0"/>
        <charset val="1"/>
      </rPr>
      <t xml:space="preserve">Facebook</t>
    </r>
    <r>
      <rPr>
        <sz val="10"/>
        <color rgb="FF0F172A"/>
        <rFont val="WenQuanYi Zen Hei"/>
        <family val="2"/>
      </rPr>
      <t xml:space="preserve">＋小紅書＋廣告費差額）</t>
    </r>
  </si>
  <si>
    <t xml:space="preserve">玉山信用卡／微信支付／玉山活存</t>
  </si>
  <si>
    <t xml:space="preserve">   水電瓦斯費（僅香港零用金）</t>
  </si>
  <si>
    <r>
      <rPr>
        <i val="true"/>
        <sz val="8.5"/>
        <color rgb="FF475569"/>
        <rFont val="WenQuanYi Zen Hei"/>
        <family val="2"/>
      </rPr>
      <t xml:space="preserve">零用金</t>
    </r>
    <r>
      <rPr>
        <i val="true"/>
        <sz val="8.5"/>
        <color rgb="FF475569"/>
        <rFont val="Arial"/>
        <family val="0"/>
        <charset val="1"/>
      </rPr>
      <t xml:space="preserve">-</t>
    </r>
    <r>
      <rPr>
        <i val="true"/>
        <sz val="8.5"/>
        <color rgb="FF475569"/>
        <rFont val="WenQuanYi Zen Hei"/>
        <family val="2"/>
      </rPr>
      <t xml:space="preserve">海港城</t>
    </r>
  </si>
  <si>
    <t xml:space="preserve">   保險費－健保費</t>
  </si>
  <si>
    <r>
      <rPr>
        <i val="true"/>
        <sz val="8.5"/>
        <color rgb="FF475569"/>
        <rFont val="WenQuanYi Zen Hei"/>
        <family val="2"/>
      </rPr>
      <t xml:space="preserve">健保局</t>
    </r>
    <r>
      <rPr>
        <i val="true"/>
        <sz val="8.5"/>
        <color rgb="FF475569"/>
        <rFont val="Arial"/>
        <family val="0"/>
        <charset val="1"/>
      </rPr>
      <t xml:space="preserve">8</t>
    </r>
    <r>
      <rPr>
        <i val="true"/>
        <sz val="8.5"/>
        <color rgb="FF475569"/>
        <rFont val="WenQuanYi Zen Hei"/>
        <family val="2"/>
      </rPr>
      <t xml:space="preserve">月帳單，實際數</t>
    </r>
  </si>
  <si>
    <t xml:space="preserve">   保險費－勞保費</t>
  </si>
  <si>
    <r>
      <rPr>
        <i val="true"/>
        <sz val="8.5"/>
        <color rgb="FF475569"/>
        <rFont val="WenQuanYi Zen Hei"/>
        <family val="2"/>
      </rPr>
      <t xml:space="preserve">勞保局</t>
    </r>
    <r>
      <rPr>
        <i val="true"/>
        <sz val="8.5"/>
        <color rgb="FF475569"/>
        <rFont val="Arial"/>
        <family val="0"/>
        <charset val="1"/>
      </rPr>
      <t xml:space="preserve">8</t>
    </r>
    <r>
      <rPr>
        <i val="true"/>
        <sz val="8.5"/>
        <color rgb="FF475569"/>
        <rFont val="WenQuanYi Zen Hei"/>
        <family val="2"/>
      </rPr>
      <t xml:space="preserve">月帳單，實際數</t>
    </r>
  </si>
  <si>
    <t xml:space="preserve">   交際費</t>
  </si>
  <si>
    <t xml:space="preserve">   稅捐</t>
  </si>
  <si>
    <t xml:space="preserve">   各項折舊</t>
  </si>
  <si>
    <t xml:space="preserve">   伙食費</t>
  </si>
  <si>
    <t xml:space="preserve">   職工福利</t>
  </si>
  <si>
    <r>
      <rPr>
        <sz val="10"/>
        <color rgb="FF0F172A"/>
        <rFont val="WenQuanYi Zen Hei"/>
        <family val="2"/>
      </rPr>
      <t xml:space="preserve">   研究費（</t>
    </r>
    <r>
      <rPr>
        <sz val="10"/>
        <color rgb="FF0F172A"/>
        <rFont val="Arial"/>
        <family val="0"/>
        <charset val="1"/>
      </rPr>
      <t xml:space="preserve">WGSN</t>
    </r>
    <r>
      <rPr>
        <sz val="10"/>
        <color rgb="FF0F172A"/>
        <rFont val="WenQuanYi Zen Hei"/>
        <family val="2"/>
      </rPr>
      <t xml:space="preserve">趨勢報告）</t>
    </r>
  </si>
  <si>
    <t xml:space="preserve">   佣金支出（已併入銷貨折讓）</t>
  </si>
  <si>
    <t xml:space="preserve">   訓練費</t>
  </si>
  <si>
    <t xml:space="preserve">支付明細表</t>
  </si>
  <si>
    <t xml:space="preserve">   其他費用（大遠百扣款＋知通）</t>
  </si>
  <si>
    <t xml:space="preserve">遠百對帳單／支付明細表</t>
  </si>
  <si>
    <t xml:space="preserve">   書報雜誌</t>
  </si>
  <si>
    <t xml:space="preserve">   雜項購置（含各櫃零用金）</t>
  </si>
  <si>
    <r>
      <rPr>
        <i val="true"/>
        <sz val="8.5"/>
        <color rgb="FF475569"/>
        <rFont val="WenQuanYi Zen Hei"/>
        <family val="2"/>
      </rPr>
      <t xml:space="preserve">零用金</t>
    </r>
    <r>
      <rPr>
        <i val="true"/>
        <sz val="8.5"/>
        <color rgb="FF475569"/>
        <rFont val="Arial"/>
        <family val="0"/>
        <charset val="1"/>
      </rPr>
      <t xml:space="preserve">-</t>
    </r>
    <r>
      <rPr>
        <i val="true"/>
        <sz val="8.5"/>
        <color rgb="FF475569"/>
        <rFont val="WenQuanYi Zen Hei"/>
        <family val="2"/>
      </rPr>
      <t xml:space="preserve">海港城／信義</t>
    </r>
  </si>
  <si>
    <r>
      <rPr>
        <sz val="10"/>
        <color rgb="FF0F172A"/>
        <rFont val="WenQuanYi Zen Hei"/>
        <family val="2"/>
      </rPr>
      <t xml:space="preserve">   手續費（</t>
    </r>
    <r>
      <rPr>
        <sz val="10"/>
        <color rgb="FF0F172A"/>
        <rFont val="Arial"/>
        <family val="0"/>
        <charset val="1"/>
      </rPr>
      <t xml:space="preserve">19</t>
    </r>
    <r>
      <rPr>
        <sz val="10"/>
        <color rgb="FF0F172A"/>
        <rFont val="WenQuanYi Zen Hei"/>
        <family val="2"/>
      </rPr>
      <t xml:space="preserve">筆匯款手續費）</t>
    </r>
  </si>
  <si>
    <r>
      <rPr>
        <i val="true"/>
        <sz val="8.5"/>
        <color rgb="FF475569"/>
        <rFont val="WenQuanYi Zen Hei"/>
        <family val="2"/>
      </rPr>
      <t xml:space="preserve">支付明細表，送審日期</t>
    </r>
    <r>
      <rPr>
        <i val="true"/>
        <sz val="8.5"/>
        <color rgb="FF475569"/>
        <rFont val="Arial"/>
        <family val="0"/>
        <charset val="1"/>
      </rPr>
      <t xml:space="preserve">8</t>
    </r>
    <r>
      <rPr>
        <i val="true"/>
        <sz val="8.5"/>
        <color rgb="FF475569"/>
        <rFont val="WenQuanYi Zen Hei"/>
        <family val="2"/>
      </rPr>
      <t xml:space="preserve">月</t>
    </r>
  </si>
  <si>
    <t xml:space="preserve">   交通費（含各櫃零用金）</t>
  </si>
  <si>
    <r>
      <rPr>
        <i val="true"/>
        <sz val="8.5"/>
        <color rgb="FF475569"/>
        <rFont val="WenQuanYi Zen Hei"/>
        <family val="2"/>
      </rPr>
      <t xml:space="preserve">支付明細表／零用金</t>
    </r>
    <r>
      <rPr>
        <i val="true"/>
        <sz val="8.5"/>
        <color rgb="FF475569"/>
        <rFont val="Arial"/>
        <family val="0"/>
        <charset val="1"/>
      </rPr>
      <t xml:space="preserve">-</t>
    </r>
    <r>
      <rPr>
        <i val="true"/>
        <sz val="8.5"/>
        <color rgb="FF475569"/>
        <rFont val="WenQuanYi Zen Hei"/>
        <family val="2"/>
      </rPr>
      <t xml:space="preserve">台中</t>
    </r>
  </si>
  <si>
    <t xml:space="preserve">   燃料費</t>
  </si>
  <si>
    <t xml:space="preserve">   勞務費</t>
  </si>
  <si>
    <t xml:space="preserve">   執行業務報酬</t>
  </si>
  <si>
    <r>
      <rPr>
        <sz val="10"/>
        <color rgb="FF0F172A"/>
        <rFont val="WenQuanYi Zen Hei"/>
        <family val="2"/>
      </rPr>
      <t xml:space="preserve">   軟體使用費（</t>
    </r>
    <r>
      <rPr>
        <sz val="10"/>
        <color rgb="FF0F172A"/>
        <rFont val="Arial"/>
        <family val="0"/>
        <charset val="1"/>
      </rPr>
      <t xml:space="preserve">Adobe/Squarespace/Apple/Notion</t>
    </r>
    <r>
      <rPr>
        <sz val="10"/>
        <color rgb="FF0F172A"/>
        <rFont val="WenQuanYi Zen Hei"/>
        <family val="2"/>
      </rPr>
      <t xml:space="preserve">等）</t>
    </r>
  </si>
  <si>
    <t xml:space="preserve">   雜費（含各櫃零用金＋服裝修改費）</t>
  </si>
  <si>
    <t xml:space="preserve">零用金表／薪資單／微信支付</t>
  </si>
  <si>
    <t xml:space="preserve">   退休金</t>
  </si>
  <si>
    <t xml:space="preserve">營業費用總計</t>
  </si>
  <si>
    <t xml:space="preserve">營業利益（損失）</t>
  </si>
  <si>
    <t xml:space="preserve">營業外收益及費損</t>
  </si>
  <si>
    <t xml:space="preserve">   利息收入</t>
  </si>
  <si>
    <t xml:space="preserve">   兌換盈益</t>
  </si>
  <si>
    <r>
      <rPr>
        <sz val="10"/>
        <color rgb="FF0F172A"/>
        <rFont val="WenQuanYi Zen Hei"/>
        <family val="2"/>
      </rPr>
      <t xml:space="preserve">   利息支出（兩筆貸款</t>
    </r>
    <r>
      <rPr>
        <sz val="10"/>
        <color rgb="FF0F172A"/>
        <rFont val="Arial"/>
        <family val="0"/>
        <charset val="1"/>
      </rPr>
      <t xml:space="preserve">8</t>
    </r>
    <r>
      <rPr>
        <sz val="10"/>
        <color rgb="FF0F172A"/>
        <rFont val="WenQuanYi Zen Hei"/>
        <family val="2"/>
      </rPr>
      <t xml:space="preserve">月利息，本金償還不列入）</t>
    </r>
  </si>
  <si>
    <t xml:space="preserve">玉山活存交易明細，實際數</t>
  </si>
  <si>
    <t xml:space="preserve">   兌換損失</t>
  </si>
  <si>
    <t xml:space="preserve">營業外收益及費損總計</t>
  </si>
  <si>
    <t xml:space="preserve">稅前淨利（虧損）總計</t>
  </si>
  <si>
    <t xml:space="preserve">所得稅費用</t>
  </si>
  <si>
    <t xml:space="preserve">   所得稅費用（按季／年度估列，本表未含）</t>
  </si>
  <si>
    <t xml:space="preserve">本期淨利（損）</t>
  </si>
  <si>
    <t xml:space="preserve">說明</t>
  </si>
  <si>
    <t xml:space="preserve">本表匯整通路損益表、遠東百貨對帳單、台灣／香港薪資與員工代墊明細、支付明細表（含香港）、玉山信用卡帳單、</t>
  </si>
  <si>
    <t xml:space="preserve">海港城／信義／台中零用金支出表、微信支付、玉山活存交易明細等來源，逐項核對後編製，非事務所正式結帳數字。</t>
  </si>
  <si>
    <r>
      <rPr>
        <i val="true"/>
        <sz val="8.5"/>
        <color rgb="FF475569"/>
        <rFont val="WenQuanYi Zen Hei"/>
        <family val="2"/>
      </rPr>
      <t xml:space="preserve">香港項目一律按匯率 </t>
    </r>
    <r>
      <rPr>
        <i val="true"/>
        <sz val="8.5"/>
        <color rgb="FF475569"/>
        <rFont val="Arial"/>
        <family val="0"/>
        <charset val="1"/>
      </rPr>
      <t xml:space="preserve">1 HKD = 4 TWD </t>
    </r>
    <r>
      <rPr>
        <i val="true"/>
        <sz val="8.5"/>
        <color rgb="FF475569"/>
        <rFont val="WenQuanYi Zen Hei"/>
        <family val="2"/>
      </rPr>
      <t xml:space="preserve">折算；人民幣項目一律按匯率 </t>
    </r>
    <r>
      <rPr>
        <i val="true"/>
        <sz val="8.5"/>
        <color rgb="FF475569"/>
        <rFont val="Arial"/>
        <family val="0"/>
        <charset val="1"/>
      </rPr>
      <t xml:space="preserve">1 RMB = 5 TWD </t>
    </r>
    <r>
      <rPr>
        <i val="true"/>
        <sz val="8.5"/>
        <color rgb="FF475569"/>
        <rFont val="WenQuanYi Zen Hei"/>
        <family val="2"/>
      </rPr>
      <t xml:space="preserve">折算。</t>
    </r>
  </si>
  <si>
    <r>
      <rPr>
        <i val="true"/>
        <sz val="8.5"/>
        <color rgb="FF475569"/>
        <rFont val="WenQuanYi Zen Hei"/>
        <family val="2"/>
      </rPr>
      <t xml:space="preserve">交際費、稅捐、各項折舊、勞務費、台灣各櫃店面租金：</t>
    </r>
    <r>
      <rPr>
        <i val="true"/>
        <sz val="8.5"/>
        <color rgb="FF475569"/>
        <rFont val="Arial"/>
        <family val="0"/>
        <charset val="1"/>
      </rPr>
      <t xml:space="preserve">8</t>
    </r>
    <r>
      <rPr>
        <i val="true"/>
        <sz val="8.5"/>
        <color rgb="FF475569"/>
        <rFont val="WenQuanYi Zen Hei"/>
        <family val="2"/>
      </rPr>
      <t xml:space="preserve">月未查到對應支出，列為本期無發生額（</t>
    </r>
    <r>
      <rPr>
        <i val="true"/>
        <sz val="8.5"/>
        <color rgb="FF475569"/>
        <rFont val="Arial"/>
        <family val="0"/>
        <charset val="1"/>
      </rPr>
      <t xml:space="preserve">$0</t>
    </r>
    <r>
      <rPr>
        <i val="true"/>
        <sz val="8.5"/>
        <color rgb="FF475569"/>
        <rFont val="WenQuanYi Zen Hei"/>
        <family val="2"/>
      </rPr>
      <t xml:space="preserve">），非估列亦非遺漏。</t>
    </r>
  </si>
  <si>
    <t xml:space="preserve">詳細逐筆交易明細請見「科目明細表」工作表；每一科目金額均可與該表小計核對一致。</t>
  </si>
  <si>
    <r>
      <rPr>
        <b val="true"/>
        <sz val="15"/>
        <color rgb="FF0F172A"/>
        <rFont val="Arial"/>
        <family val="0"/>
        <charset val="1"/>
      </rPr>
      <t xml:space="preserve">HAI Swimwear · 8</t>
    </r>
    <r>
      <rPr>
        <b val="true"/>
        <sz val="15"/>
        <color rgb="FF0F172A"/>
        <rFont val="WenQuanYi Zen Hei"/>
        <family val="2"/>
      </rPr>
      <t xml:space="preserve">月科目明細表</t>
    </r>
  </si>
  <si>
    <r>
      <rPr>
        <i val="true"/>
        <sz val="10"/>
        <color rgb="FF475569"/>
        <rFont val="Arial"/>
        <family val="0"/>
        <charset val="1"/>
      </rPr>
      <t xml:space="preserve">2026/08/01 – 2026/08/31 · </t>
    </r>
    <r>
      <rPr>
        <i val="true"/>
        <sz val="10"/>
        <color rgb="FF475569"/>
        <rFont val="WenQuanYi Zen Hei"/>
        <family val="2"/>
      </rPr>
      <t xml:space="preserve">新台幣（</t>
    </r>
    <r>
      <rPr>
        <i val="true"/>
        <sz val="10"/>
        <color rgb="FF475569"/>
        <rFont val="Arial"/>
        <family val="0"/>
        <charset val="1"/>
      </rPr>
      <t xml:space="preserve">NTD</t>
    </r>
    <r>
      <rPr>
        <i val="true"/>
        <sz val="10"/>
        <color rgb="FF475569"/>
        <rFont val="WenQuanYi Zen Hei"/>
        <family val="2"/>
      </rPr>
      <t xml:space="preserve">）</t>
    </r>
    <r>
      <rPr>
        <i val="true"/>
        <sz val="10"/>
        <color rgb="FF475569"/>
        <rFont val="Arial"/>
        <family val="0"/>
        <charset val="1"/>
      </rPr>
      <t xml:space="preserve">· </t>
    </r>
    <r>
      <rPr>
        <i val="true"/>
        <sz val="10"/>
        <color rgb="FF475569"/>
        <rFont val="WenQuanYi Zen Hei"/>
        <family val="2"/>
      </rPr>
      <t xml:space="preserve">逐筆交易明細，小計對應損益表科目金額</t>
    </r>
  </si>
  <si>
    <t xml:space="preserve">會計科目</t>
  </si>
  <si>
    <t xml:space="preserve">日期</t>
  </si>
  <si>
    <t xml:space="preserve">摘要</t>
  </si>
  <si>
    <t xml:space="preserve">來源</t>
  </si>
  <si>
    <t xml:space="preserve">銷貨收入</t>
  </si>
  <si>
    <t xml:space="preserve">—</t>
  </si>
  <si>
    <t xml:space="preserve">官網</t>
  </si>
  <si>
    <t xml:space="preserve">通路損益表</t>
  </si>
  <si>
    <t xml:space="preserve">信義大遠百</t>
  </si>
  <si>
    <t xml:space="preserve">新竹大遠百</t>
  </si>
  <si>
    <t xml:space="preserve">台中大遠百</t>
  </si>
  <si>
    <r>
      <rPr>
        <sz val="9"/>
        <color rgb="FF0F172A"/>
        <rFont val="Arial"/>
        <family val="0"/>
        <charset val="1"/>
      </rPr>
      <t xml:space="preserve">Harbour City</t>
    </r>
    <r>
      <rPr>
        <sz val="9"/>
        <color rgb="FF0F172A"/>
        <rFont val="WenQuanYi Zen Hei"/>
        <family val="2"/>
      </rPr>
      <t xml:space="preserve">（香港，匯率</t>
    </r>
    <r>
      <rPr>
        <sz val="9"/>
        <color rgb="FF0F172A"/>
        <rFont val="Arial"/>
        <family val="0"/>
        <charset val="1"/>
      </rPr>
      <t xml:space="preserve">4</t>
    </r>
    <r>
      <rPr>
        <sz val="9"/>
        <color rgb="FF0F172A"/>
        <rFont val="WenQuanYi Zen Hei"/>
        <family val="2"/>
      </rPr>
      <t xml:space="preserve">）</t>
    </r>
  </si>
  <si>
    <t xml:space="preserve">高雄</t>
  </si>
  <si>
    <t xml:space="preserve">恆春</t>
  </si>
  <si>
    <t xml:space="preserve">小琉球</t>
  </si>
  <si>
    <t xml:space="preserve">海南</t>
  </si>
  <si>
    <t xml:space="preserve">08/11</t>
  </si>
  <si>
    <r>
      <rPr>
        <sz val="9"/>
        <color rgb="FF0F172A"/>
        <rFont val="WenQuanYi Zen Hei"/>
        <family val="2"/>
      </rPr>
      <t xml:space="preserve">員工購物金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沈予新</t>
    </r>
  </si>
  <si>
    <t xml:space="preserve">台灣員工薪資單</t>
  </si>
  <si>
    <t xml:space="preserve">08/xx</t>
  </si>
  <si>
    <r>
      <rPr>
        <sz val="9"/>
        <color rgb="FF0F172A"/>
        <rFont val="WenQuanYi Zen Hei"/>
        <family val="2"/>
      </rPr>
      <t xml:space="preserve">員工購物金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洪心祈</t>
    </r>
  </si>
  <si>
    <r>
      <rPr>
        <sz val="9"/>
        <color rgb="FF0F172A"/>
        <rFont val="WenQuanYi Zen Hei"/>
        <family val="2"/>
      </rPr>
      <t xml:space="preserve">員工購物金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洪欣妤</t>
    </r>
  </si>
  <si>
    <r>
      <rPr>
        <sz val="9"/>
        <color rgb="FF0F172A"/>
        <rFont val="WenQuanYi Zen Hei"/>
        <family val="2"/>
      </rPr>
      <t xml:space="preserve">員工購物金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劉鈺芯</t>
    </r>
  </si>
  <si>
    <r>
      <rPr>
        <sz val="9"/>
        <color rgb="FF0F172A"/>
        <rFont val="WenQuanYi Zen Hei"/>
        <family val="2"/>
      </rPr>
      <t xml:space="preserve">員工購物金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李芷彤（</t>
    </r>
    <r>
      <rPr>
        <sz val="9"/>
        <color rgb="FF0F172A"/>
        <rFont val="Arial"/>
        <family val="0"/>
        <charset val="1"/>
      </rPr>
      <t xml:space="preserve">HKD90×4</t>
    </r>
    <r>
      <rPr>
        <sz val="9"/>
        <color rgb="FF0F172A"/>
        <rFont val="WenQuanYi Zen Hei"/>
        <family val="2"/>
      </rPr>
      <t xml:space="preserve">）</t>
    </r>
  </si>
  <si>
    <t xml:space="preserve">香港員工薪資單</t>
  </si>
  <si>
    <r>
      <rPr>
        <sz val="9"/>
        <color rgb="FF0F172A"/>
        <rFont val="WenQuanYi Zen Hei"/>
        <family val="2"/>
      </rPr>
      <t xml:space="preserve">員工購物金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陳詩祺（</t>
    </r>
    <r>
      <rPr>
        <sz val="9"/>
        <color rgb="FF0F172A"/>
        <rFont val="Arial"/>
        <family val="0"/>
        <charset val="1"/>
      </rPr>
      <t xml:space="preserve">HKD34×4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</si>
  <si>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員工購物金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盧天欣（</t>
    </r>
    <r>
      <rPr>
        <sz val="9"/>
        <color rgb="FF0F172A"/>
        <rFont val="Arial"/>
        <family val="0"/>
        <charset val="1"/>
      </rPr>
      <t xml:space="preserve">HKD34×4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</si>
  <si>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員工購物金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周夏愉（</t>
    </r>
    <r>
      <rPr>
        <sz val="9"/>
        <color rgb="FF0F172A"/>
        <rFont val="Arial"/>
        <family val="0"/>
        <charset val="1"/>
      </rPr>
      <t xml:space="preserve">HKD34×4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</si>
  <si>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員工購物金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梁綽恩（</t>
    </r>
    <r>
      <rPr>
        <sz val="9"/>
        <color rgb="FF0F172A"/>
        <rFont val="Arial"/>
        <family val="0"/>
        <charset val="1"/>
      </rPr>
      <t xml:space="preserve">HKD30×4</t>
    </r>
    <r>
      <rPr>
        <sz val="9"/>
        <color rgb="FF0F172A"/>
        <rFont val="WenQuanYi Zen Hei"/>
        <family val="2"/>
      </rPr>
      <t xml:space="preserve">）</t>
    </r>
  </si>
  <si>
    <t xml:space="preserve">08/17</t>
  </si>
  <si>
    <r>
      <rPr>
        <sz val="9"/>
        <color rgb="FF0F172A"/>
        <rFont val="WenQuanYi Zen Hei"/>
        <family val="2"/>
      </rPr>
      <t xml:space="preserve">上海銷貨收入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轉帳來自</t>
    </r>
    <r>
      <rPr>
        <sz val="9"/>
        <color rgb="FF0F172A"/>
        <rFont val="Arial"/>
        <family val="0"/>
        <charset val="1"/>
      </rPr>
      <t xml:space="preserve">Yilei</t>
    </r>
    <r>
      <rPr>
        <sz val="9"/>
        <color rgb="FF0F172A"/>
        <rFont val="WenQuanYi Zen Hei"/>
        <family val="2"/>
      </rPr>
      <t xml:space="preserve">（</t>
    </r>
    <r>
      <rPr>
        <sz val="9"/>
        <color rgb="FF0F172A"/>
        <rFont val="Arial"/>
        <family val="0"/>
        <charset val="1"/>
      </rPr>
      <t xml:space="preserve">RMB552×5</t>
    </r>
    <r>
      <rPr>
        <sz val="9"/>
        <color rgb="FF0F172A"/>
        <rFont val="WenQuanYi Zen Hei"/>
        <family val="2"/>
      </rPr>
      <t xml:space="preserve">）</t>
    </r>
  </si>
  <si>
    <t xml:space="preserve">微信支付</t>
  </si>
  <si>
    <t xml:space="preserve">銷貨折讓</t>
  </si>
  <si>
    <r>
      <rPr>
        <sz val="9"/>
        <color rgb="FF475569"/>
        <rFont val="Arial"/>
        <family val="0"/>
        <charset val="1"/>
      </rPr>
      <t xml:space="preserve">08</t>
    </r>
    <r>
      <rPr>
        <sz val="9"/>
        <color rgb="FF475569"/>
        <rFont val="WenQuanYi Zen Hei"/>
        <family val="2"/>
      </rPr>
      <t xml:space="preserve">月</t>
    </r>
  </si>
  <si>
    <r>
      <rPr>
        <sz val="9"/>
        <color rgb="FF0F172A"/>
        <rFont val="WenQuanYi Zen Hei"/>
        <family val="2"/>
      </rPr>
      <t xml:space="preserve">大遠百信義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抽成差額（</t>
    </r>
    <r>
      <rPr>
        <sz val="9"/>
        <color rgb="FF0F172A"/>
        <rFont val="Arial"/>
        <family val="0"/>
        <charset val="1"/>
      </rPr>
      <t xml:space="preserve">445,645</t>
    </r>
    <r>
      <rPr>
        <sz val="9"/>
        <color rgb="FF0F172A"/>
        <rFont val="WenQuanYi Zen Hei"/>
        <family val="2"/>
      </rPr>
      <t xml:space="preserve">－</t>
    </r>
    <r>
      <rPr>
        <sz val="9"/>
        <color rgb="FF0F172A"/>
        <rFont val="Arial"/>
        <family val="0"/>
        <charset val="1"/>
      </rPr>
      <t xml:space="preserve">338,689</t>
    </r>
    <r>
      <rPr>
        <sz val="9"/>
        <color rgb="FF0F172A"/>
        <rFont val="WenQuanYi Zen Hei"/>
        <family val="2"/>
      </rPr>
      <t xml:space="preserve">）</t>
    </r>
  </si>
  <si>
    <t xml:space="preserve">遠百對帳單</t>
  </si>
  <si>
    <r>
      <rPr>
        <sz val="9"/>
        <color rgb="FF0F172A"/>
        <rFont val="WenQuanYi Zen Hei"/>
        <family val="2"/>
      </rPr>
      <t xml:space="preserve">大遠百台中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抽成差額（</t>
    </r>
    <r>
      <rPr>
        <sz val="9"/>
        <color rgb="FF0F172A"/>
        <rFont val="Arial"/>
        <family val="0"/>
        <charset val="1"/>
      </rPr>
      <t xml:space="preserve">220,595</t>
    </r>
    <r>
      <rPr>
        <sz val="9"/>
        <color rgb="FF0F172A"/>
        <rFont val="WenQuanYi Zen Hei"/>
        <family val="2"/>
      </rPr>
      <t xml:space="preserve">－</t>
    </r>
    <r>
      <rPr>
        <sz val="9"/>
        <color rgb="FF0F172A"/>
        <rFont val="Arial"/>
        <family val="0"/>
        <charset val="1"/>
      </rPr>
      <t xml:space="preserve">167,653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</si>
  <si>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大遠百新竹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抽成差額（</t>
    </r>
    <r>
      <rPr>
        <sz val="9"/>
        <color rgb="FF0F172A"/>
        <rFont val="Arial"/>
        <family val="0"/>
        <charset val="1"/>
      </rPr>
      <t xml:space="preserve">172,947</t>
    </r>
    <r>
      <rPr>
        <sz val="9"/>
        <color rgb="FF0F172A"/>
        <rFont val="WenQuanYi Zen Hei"/>
        <family val="2"/>
      </rPr>
      <t xml:space="preserve">－</t>
    </r>
    <r>
      <rPr>
        <sz val="9"/>
        <color rgb="FF0F172A"/>
        <rFont val="Arial"/>
        <family val="0"/>
        <charset val="1"/>
      </rPr>
      <t xml:space="preserve">133,167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</si>
  <si>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外點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高雄抽成</t>
    </r>
  </si>
  <si>
    <r>
      <rPr>
        <sz val="9"/>
        <color rgb="FF0F172A"/>
        <rFont val="WenQuanYi Zen Hei"/>
        <family val="2"/>
      </rPr>
      <t xml:space="preserve">外點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恆春抽成</t>
    </r>
  </si>
  <si>
    <r>
      <rPr>
        <sz val="9"/>
        <color rgb="FF0F172A"/>
        <rFont val="WenQuanYi Zen Hei"/>
        <family val="2"/>
      </rPr>
      <t xml:space="preserve">外點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小琉球抽成</t>
    </r>
  </si>
  <si>
    <r>
      <rPr>
        <sz val="9"/>
        <color rgb="FF0F172A"/>
        <rFont val="WenQuanYi Zen Hei"/>
        <family val="2"/>
      </rPr>
      <t xml:space="preserve">外點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海南抽成</t>
    </r>
  </si>
  <si>
    <t xml:space="preserve">銷貨成本</t>
  </si>
  <si>
    <r>
      <rPr>
        <sz val="9"/>
        <color rgb="FF0F172A"/>
        <rFont val="Arial"/>
        <family val="0"/>
        <charset val="1"/>
      </rPr>
      <t xml:space="preserve">Harbour City</t>
    </r>
    <r>
      <rPr>
        <sz val="9"/>
        <color rgb="FF0F172A"/>
        <rFont val="WenQuanYi Zen Hei"/>
        <family val="2"/>
      </rPr>
      <t xml:space="preserve">（香港）</t>
    </r>
  </si>
  <si>
    <t xml:space="preserve">其他成本（營業成本）</t>
  </si>
  <si>
    <r>
      <rPr>
        <sz val="9"/>
        <color rgb="FF0F172A"/>
        <rFont val="WenQuanYi Zen Hei"/>
        <family val="2"/>
      </rPr>
      <t xml:space="preserve">增站</t>
    </r>
    <r>
      <rPr>
        <sz val="9"/>
        <color rgb="FF0F172A"/>
        <rFont val="Arial"/>
        <family val="0"/>
        <charset val="1"/>
      </rPr>
      <t xml:space="preserve">-8</t>
    </r>
    <r>
      <rPr>
        <sz val="9"/>
        <color rgb="FF0F172A"/>
        <rFont val="WenQuanYi Zen Hei"/>
        <family val="2"/>
      </rPr>
      <t xml:space="preserve">月款</t>
    </r>
  </si>
  <si>
    <t xml:space="preserve">08/25</t>
  </si>
  <si>
    <r>
      <rPr>
        <sz val="9"/>
        <color rgb="FF0F172A"/>
        <rFont val="WenQuanYi Zen Hei"/>
        <family val="2"/>
      </rPr>
      <t xml:space="preserve">甘芳穎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修溫泉款</t>
    </r>
    <r>
      <rPr>
        <sz val="9"/>
        <color rgb="FF0F172A"/>
        <rFont val="Arial"/>
        <family val="0"/>
        <charset val="1"/>
      </rPr>
      <t xml:space="preserve">,Junior</t>
    </r>
    <r>
      <rPr>
        <sz val="9"/>
        <color rgb="FF0F172A"/>
        <rFont val="WenQuanYi Zen Hei"/>
        <family val="2"/>
      </rPr>
      <t xml:space="preserve">照片</t>
    </r>
  </si>
  <si>
    <r>
      <rPr>
        <sz val="9"/>
        <color rgb="FF0F172A"/>
        <rFont val="WenQuanYi Zen Hei"/>
        <family val="2"/>
      </rPr>
      <t xml:space="preserve">甘芳穎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亞馬遜修改費</t>
    </r>
  </si>
  <si>
    <t xml:space="preserve">08/06</t>
  </si>
  <si>
    <r>
      <rPr>
        <sz val="9"/>
        <color rgb="FF0F172A"/>
        <rFont val="WenQuanYi Zen Hei"/>
        <family val="2"/>
      </rPr>
      <t xml:space="preserve">轉給梁書一（胸墊，</t>
    </r>
    <r>
      <rPr>
        <sz val="9"/>
        <color rgb="FF0F172A"/>
        <rFont val="Arial"/>
        <family val="0"/>
        <charset val="1"/>
      </rPr>
      <t xml:space="preserve">RMB3,000×5</t>
    </r>
    <r>
      <rPr>
        <sz val="9"/>
        <color rgb="FF0F172A"/>
        <rFont val="WenQuanYi Zen Hei"/>
        <family val="2"/>
      </rPr>
      <t xml:space="preserve">）</t>
    </r>
  </si>
  <si>
    <t xml:space="preserve">08/08</t>
  </si>
  <si>
    <r>
      <rPr>
        <sz val="9"/>
        <color rgb="FF0F172A"/>
        <rFont val="WenQuanYi Zen Hei"/>
        <family val="2"/>
      </rPr>
      <t xml:space="preserve">轉給佛山胸墊訂製（</t>
    </r>
    <r>
      <rPr>
        <sz val="9"/>
        <color rgb="FF0F172A"/>
        <rFont val="Arial"/>
        <family val="0"/>
        <charset val="1"/>
      </rPr>
      <t xml:space="preserve">RMB4,500×5</t>
    </r>
    <r>
      <rPr>
        <sz val="9"/>
        <color rgb="FF0F172A"/>
        <rFont val="WenQuanYi Zen Hei"/>
        <family val="2"/>
      </rPr>
      <t xml:space="preserve">）</t>
    </r>
  </si>
  <si>
    <t xml:space="preserve">08/07</t>
  </si>
  <si>
    <r>
      <rPr>
        <sz val="9"/>
        <color rgb="FF0F172A"/>
        <rFont val="WenQuanYi Zen Hei"/>
        <family val="2"/>
      </rPr>
      <t xml:space="preserve">轉給</t>
    </r>
    <r>
      <rPr>
        <sz val="9"/>
        <color rgb="FF0F172A"/>
        <rFont val="Arial"/>
        <family val="0"/>
        <charset val="1"/>
      </rPr>
      <t xml:space="preserve">A</t>
    </r>
    <r>
      <rPr>
        <sz val="9"/>
        <color rgb="FF0F172A"/>
        <rFont val="WenQuanYi Zen Hei"/>
        <family val="2"/>
      </rPr>
      <t xml:space="preserve">環保降解包裝（</t>
    </r>
    <r>
      <rPr>
        <sz val="9"/>
        <color rgb="FF0F172A"/>
        <rFont val="Arial"/>
        <family val="0"/>
        <charset val="1"/>
      </rPr>
      <t xml:space="preserve">RMB4,840×5</t>
    </r>
    <r>
      <rPr>
        <sz val="9"/>
        <color rgb="FF0F172A"/>
        <rFont val="WenQuanYi Zen Hei"/>
        <family val="2"/>
      </rPr>
      <t xml:space="preserve">）</t>
    </r>
  </si>
  <si>
    <t xml:space="preserve">08/04</t>
  </si>
  <si>
    <r>
      <rPr>
        <sz val="9"/>
        <color rgb="FF0F172A"/>
        <rFont val="WenQuanYi Zen Hei"/>
        <family val="2"/>
      </rPr>
      <t xml:space="preserve">轉給穎彩發哥（布料廠，</t>
    </r>
    <r>
      <rPr>
        <sz val="9"/>
        <color rgb="FF0F172A"/>
        <rFont val="Arial"/>
        <family val="0"/>
        <charset val="1"/>
      </rPr>
      <t xml:space="preserve">RMB250×5</t>
    </r>
    <r>
      <rPr>
        <sz val="9"/>
        <color rgb="FF0F172A"/>
        <rFont val="WenQuanYi Zen Hei"/>
        <family val="2"/>
      </rPr>
      <t xml:space="preserve">）</t>
    </r>
  </si>
  <si>
    <r>
      <rPr>
        <b val="true"/>
        <sz val="10.5"/>
        <color rgb="FF0F172A"/>
        <rFont val="WenQuanYi Zen Hei"/>
        <family val="2"/>
      </rPr>
      <t xml:space="preserve">薪資支出</t>
    </r>
    <r>
      <rPr>
        <b val="true"/>
        <sz val="10.5"/>
        <color rgb="FF0F172A"/>
        <rFont val="Arial"/>
        <family val="0"/>
        <charset val="1"/>
      </rPr>
      <t xml:space="preserve">-</t>
    </r>
    <r>
      <rPr>
        <b val="true"/>
        <sz val="10.5"/>
        <color rgb="FF0F172A"/>
        <rFont val="WenQuanYi Zen Hei"/>
        <family val="2"/>
      </rPr>
      <t xml:space="preserve">台灣</t>
    </r>
  </si>
  <si>
    <t xml:space="preserve">簡匯安</t>
  </si>
  <si>
    <t xml:space="preserve">李星蓉</t>
  </si>
  <si>
    <t xml:space="preserve">段軍辰</t>
  </si>
  <si>
    <t xml:space="preserve">沈予新</t>
  </si>
  <si>
    <t xml:space="preserve">洪心祈</t>
  </si>
  <si>
    <t xml:space="preserve">謝昱妤</t>
  </si>
  <si>
    <t xml:space="preserve">楊景茨</t>
  </si>
  <si>
    <t xml:space="preserve">林亞瑩</t>
  </si>
  <si>
    <t xml:space="preserve">藍沁嫻</t>
  </si>
  <si>
    <t xml:space="preserve">洪欣妤</t>
  </si>
  <si>
    <t xml:space="preserve">劉鈺芯</t>
  </si>
  <si>
    <t xml:space="preserve">陳語杉</t>
  </si>
  <si>
    <t xml:space="preserve">08/18</t>
  </si>
  <si>
    <r>
      <rPr>
        <sz val="9"/>
        <color rgb="FF0F172A"/>
        <rFont val="Arial"/>
        <family val="0"/>
        <charset val="1"/>
      </rPr>
      <t xml:space="preserve">Heidi</t>
    </r>
    <r>
      <rPr>
        <sz val="9"/>
        <color rgb="FF0F172A"/>
        <rFont val="WenQuanYi Zen Hei"/>
        <family val="2"/>
      </rPr>
      <t xml:space="preserve">信義代班</t>
    </r>
    <r>
      <rPr>
        <sz val="9"/>
        <color rgb="FF0F172A"/>
        <rFont val="Arial"/>
        <family val="0"/>
        <charset val="1"/>
      </rPr>
      <t xml:space="preserve">8/12</t>
    </r>
  </si>
  <si>
    <r>
      <rPr>
        <sz val="9"/>
        <color rgb="FF0F172A"/>
        <rFont val="Arial"/>
        <family val="0"/>
        <charset val="1"/>
      </rPr>
      <t xml:space="preserve">Heidi</t>
    </r>
    <r>
      <rPr>
        <sz val="9"/>
        <color rgb="FF0F172A"/>
        <rFont val="WenQuanYi Zen Hei"/>
        <family val="2"/>
      </rPr>
      <t xml:space="preserve">信義代班</t>
    </r>
    <r>
      <rPr>
        <sz val="9"/>
        <color rgb="FF0F172A"/>
        <rFont val="Arial"/>
        <family val="0"/>
        <charset val="1"/>
      </rPr>
      <t xml:space="preserve">7/27-8/2</t>
    </r>
  </si>
  <si>
    <r>
      <rPr>
        <sz val="9"/>
        <color rgb="FF0F172A"/>
        <rFont val="Arial"/>
        <family val="0"/>
        <charset val="1"/>
      </rPr>
      <t xml:space="preserve">Heidi</t>
    </r>
    <r>
      <rPr>
        <sz val="9"/>
        <color rgb="FF0F172A"/>
        <rFont val="WenQuanYi Zen Hei"/>
        <family val="2"/>
      </rPr>
      <t xml:space="preserve">信義代班</t>
    </r>
    <r>
      <rPr>
        <sz val="9"/>
        <color rgb="FF0F172A"/>
        <rFont val="Arial"/>
        <family val="0"/>
        <charset val="1"/>
      </rPr>
      <t xml:space="preserve">8/17-8/23</t>
    </r>
  </si>
  <si>
    <t xml:space="preserve">09/01</t>
  </si>
  <si>
    <r>
      <rPr>
        <sz val="9"/>
        <color rgb="FF0F172A"/>
        <rFont val="Arial"/>
        <family val="0"/>
        <charset val="1"/>
      </rPr>
      <t xml:space="preserve">Heidi</t>
    </r>
    <r>
      <rPr>
        <sz val="9"/>
        <color rgb="FF0F172A"/>
        <rFont val="WenQuanYi Zen Hei"/>
        <family val="2"/>
      </rPr>
      <t xml:space="preserve">信義代班</t>
    </r>
    <r>
      <rPr>
        <sz val="9"/>
        <color rgb="FF0F172A"/>
        <rFont val="Arial"/>
        <family val="0"/>
        <charset val="1"/>
      </rPr>
      <t xml:space="preserve">8/24-8/30</t>
    </r>
  </si>
  <si>
    <r>
      <rPr>
        <b val="true"/>
        <sz val="10.5"/>
        <color rgb="FF0F172A"/>
        <rFont val="WenQuanYi Zen Hei"/>
        <family val="2"/>
      </rPr>
      <t xml:space="preserve">薪資支出</t>
    </r>
    <r>
      <rPr>
        <b val="true"/>
        <sz val="10.5"/>
        <color rgb="FF0F172A"/>
        <rFont val="Arial"/>
        <family val="0"/>
        <charset val="1"/>
      </rPr>
      <t xml:space="preserve">-</t>
    </r>
    <r>
      <rPr>
        <b val="true"/>
        <sz val="10.5"/>
        <color rgb="FF0F172A"/>
        <rFont val="WenQuanYi Zen Hei"/>
        <family val="2"/>
      </rPr>
      <t xml:space="preserve">香港（匯率</t>
    </r>
    <r>
      <rPr>
        <b val="true"/>
        <sz val="10.5"/>
        <color rgb="FF0F172A"/>
        <rFont val="Arial"/>
        <family val="0"/>
        <charset val="1"/>
      </rPr>
      <t xml:space="preserve">4</t>
    </r>
    <r>
      <rPr>
        <b val="true"/>
        <sz val="10.5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</si>
  <si>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李芷彤</t>
    </r>
    <r>
      <rPr>
        <sz val="9"/>
        <color rgb="FF0F172A"/>
        <rFont val="Arial"/>
        <family val="0"/>
        <charset val="1"/>
      </rPr>
      <t xml:space="preserve">/Toby</t>
    </r>
    <r>
      <rPr>
        <sz val="9"/>
        <color rgb="FF0F172A"/>
        <rFont val="WenQuanYi Zen Hei"/>
        <family val="2"/>
      </rPr>
      <t xml:space="preserve">（</t>
    </r>
    <r>
      <rPr>
        <sz val="9"/>
        <color rgb="FF0F172A"/>
        <rFont val="Arial"/>
        <family val="0"/>
        <charset val="1"/>
      </rPr>
      <t xml:space="preserve">HKD3,120×4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</si>
  <si>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陳詩祺</t>
    </r>
    <r>
      <rPr>
        <sz val="9"/>
        <color rgb="FF0F172A"/>
        <rFont val="Arial"/>
        <family val="0"/>
        <charset val="1"/>
      </rPr>
      <t xml:space="preserve">/chole</t>
    </r>
    <r>
      <rPr>
        <sz val="9"/>
        <color rgb="FF0F172A"/>
        <rFont val="WenQuanYi Zen Hei"/>
        <family val="2"/>
      </rPr>
      <t xml:space="preserve">（</t>
    </r>
    <r>
      <rPr>
        <sz val="9"/>
        <color rgb="FF0F172A"/>
        <rFont val="Arial"/>
        <family val="0"/>
        <charset val="1"/>
      </rPr>
      <t xml:space="preserve">HKD1,640×4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</si>
  <si>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盧天欣</t>
    </r>
    <r>
      <rPr>
        <sz val="9"/>
        <color rgb="FF0F172A"/>
        <rFont val="Arial"/>
        <family val="0"/>
        <charset val="1"/>
      </rPr>
      <t xml:space="preserve">/Kristine</t>
    </r>
    <r>
      <rPr>
        <sz val="9"/>
        <color rgb="FF0F172A"/>
        <rFont val="WenQuanYi Zen Hei"/>
        <family val="2"/>
      </rPr>
      <t xml:space="preserve">（</t>
    </r>
    <r>
      <rPr>
        <sz val="9"/>
        <color rgb="FF0F172A"/>
        <rFont val="Arial"/>
        <family val="0"/>
        <charset val="1"/>
      </rPr>
      <t xml:space="preserve">HKD4,741×4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</si>
  <si>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周夏愉</t>
    </r>
    <r>
      <rPr>
        <sz val="9"/>
        <color rgb="FF0F172A"/>
        <rFont val="Arial"/>
        <family val="0"/>
        <charset val="1"/>
      </rPr>
      <t xml:space="preserve">/Siv</t>
    </r>
    <r>
      <rPr>
        <sz val="9"/>
        <color rgb="FF0F172A"/>
        <rFont val="WenQuanYi Zen Hei"/>
        <family val="2"/>
      </rPr>
      <t xml:space="preserve">（</t>
    </r>
    <r>
      <rPr>
        <sz val="9"/>
        <color rgb="FF0F172A"/>
        <rFont val="Arial"/>
        <family val="0"/>
        <charset val="1"/>
      </rPr>
      <t xml:space="preserve">HKD2,555×4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</si>
  <si>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梁綽恩</t>
    </r>
    <r>
      <rPr>
        <sz val="9"/>
        <color rgb="FF0F172A"/>
        <rFont val="Arial"/>
        <family val="0"/>
        <charset val="1"/>
      </rPr>
      <t xml:space="preserve">/Macy</t>
    </r>
    <r>
      <rPr>
        <sz val="9"/>
        <color rgb="FF0F172A"/>
        <rFont val="WenQuanYi Zen Hei"/>
        <family val="2"/>
      </rPr>
      <t xml:space="preserve">（</t>
    </r>
    <r>
      <rPr>
        <sz val="9"/>
        <color rgb="FF0F172A"/>
        <rFont val="Arial"/>
        <family val="0"/>
        <charset val="1"/>
      </rPr>
      <t xml:space="preserve">HKD11,655×4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</si>
  <si>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林惠嫻</t>
    </r>
    <r>
      <rPr>
        <sz val="9"/>
        <color rgb="FF0F172A"/>
        <rFont val="Arial"/>
        <family val="0"/>
        <charset val="1"/>
      </rPr>
      <t xml:space="preserve">/Amy</t>
    </r>
    <r>
      <rPr>
        <sz val="9"/>
        <color rgb="FF0F172A"/>
        <rFont val="WenQuanYi Zen Hei"/>
        <family val="2"/>
      </rPr>
      <t xml:space="preserve">（</t>
    </r>
    <r>
      <rPr>
        <sz val="9"/>
        <color rgb="FF0F172A"/>
        <rFont val="Arial"/>
        <family val="0"/>
        <charset val="1"/>
      </rPr>
      <t xml:space="preserve">HKD1,546×4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</si>
  <si>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唐露霖</t>
    </r>
    <r>
      <rPr>
        <sz val="9"/>
        <color rgb="FF0F172A"/>
        <rFont val="Arial"/>
        <family val="0"/>
        <charset val="1"/>
      </rPr>
      <t xml:space="preserve">/Candy</t>
    </r>
    <r>
      <rPr>
        <sz val="9"/>
        <color rgb="FF0F172A"/>
        <rFont val="WenQuanYi Zen Hei"/>
        <family val="2"/>
      </rPr>
      <t xml:space="preserve">（</t>
    </r>
    <r>
      <rPr>
        <sz val="9"/>
        <color rgb="FF0F172A"/>
        <rFont val="Arial"/>
        <family val="0"/>
        <charset val="1"/>
      </rPr>
      <t xml:space="preserve">HKD210×4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</si>
  <si>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彭婉盈</t>
    </r>
    <r>
      <rPr>
        <sz val="9"/>
        <color rgb="FF0F172A"/>
        <rFont val="Arial"/>
        <family val="0"/>
        <charset val="1"/>
      </rPr>
      <t xml:space="preserve">/Ember</t>
    </r>
    <r>
      <rPr>
        <sz val="9"/>
        <color rgb="FF0F172A"/>
        <rFont val="WenQuanYi Zen Hei"/>
        <family val="2"/>
      </rPr>
      <t xml:space="preserve">（</t>
    </r>
    <r>
      <rPr>
        <sz val="9"/>
        <color rgb="FF0F172A"/>
        <rFont val="Arial"/>
        <family val="0"/>
        <charset val="1"/>
      </rPr>
      <t xml:space="preserve">HKD350×4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</si>
  <si>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覃芝華</t>
    </r>
    <r>
      <rPr>
        <sz val="9"/>
        <color rgb="FF0F172A"/>
        <rFont val="Arial"/>
        <family val="0"/>
        <charset val="1"/>
      </rPr>
      <t xml:space="preserve">/Hana</t>
    </r>
    <r>
      <rPr>
        <sz val="9"/>
        <color rgb="FF0F172A"/>
        <rFont val="WenQuanYi Zen Hei"/>
        <family val="2"/>
      </rPr>
      <t xml:space="preserve">（</t>
    </r>
    <r>
      <rPr>
        <sz val="9"/>
        <color rgb="FF0F172A"/>
        <rFont val="Arial"/>
        <family val="0"/>
        <charset val="1"/>
      </rPr>
      <t xml:space="preserve">HKD350×4</t>
    </r>
    <r>
      <rPr>
        <sz val="9"/>
        <color rgb="FF0F172A"/>
        <rFont val="WenQuanYi Zen Hei"/>
        <family val="2"/>
      </rPr>
      <t xml:space="preserve">）</t>
    </r>
  </si>
  <si>
    <t xml:space="preserve">租金支出</t>
  </si>
  <si>
    <t xml:space="preserve">08/01</t>
  </si>
  <si>
    <r>
      <rPr>
        <sz val="9"/>
        <color rgb="FF0F172A"/>
        <rFont val="Arial"/>
        <family val="0"/>
        <charset val="1"/>
      </rPr>
      <t xml:space="preserve">Harbour City</t>
    </r>
    <r>
      <rPr>
        <sz val="9"/>
        <color rgb="FF0F172A"/>
        <rFont val="WenQuanYi Zen Hei"/>
        <family val="2"/>
      </rPr>
      <t xml:space="preserve">租金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恆生帳戶（</t>
    </r>
    <r>
      <rPr>
        <sz val="9"/>
        <color rgb="FF0F172A"/>
        <rFont val="Arial"/>
        <family val="0"/>
        <charset val="1"/>
      </rPr>
      <t xml:space="preserve">HKD15,000×4</t>
    </r>
    <r>
      <rPr>
        <sz val="9"/>
        <color rgb="FF0F172A"/>
        <rFont val="WenQuanYi Zen Hei"/>
        <family val="2"/>
      </rPr>
      <t xml:space="preserve">）</t>
    </r>
  </si>
  <si>
    <t xml:space="preserve">香港支付明細</t>
  </si>
  <si>
    <r>
      <rPr>
        <sz val="9"/>
        <color rgb="FF0F172A"/>
        <rFont val="Arial"/>
        <family val="0"/>
        <charset val="1"/>
      </rPr>
      <t xml:space="preserve">Harbour City</t>
    </r>
    <r>
      <rPr>
        <sz val="9"/>
        <color rgb="FF0F172A"/>
        <rFont val="WenQuanYi Zen Hei"/>
        <family val="2"/>
      </rPr>
      <t xml:space="preserve">租金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美金帳戶（</t>
    </r>
    <r>
      <rPr>
        <sz val="9"/>
        <color rgb="FF0F172A"/>
        <rFont val="Arial"/>
        <family val="0"/>
        <charset val="1"/>
      </rPr>
      <t xml:space="preserve">HKD74,039.56×4</t>
    </r>
    <r>
      <rPr>
        <sz val="9"/>
        <color rgb="FF0F172A"/>
        <rFont val="WenQuanYi Zen Hei"/>
        <family val="2"/>
      </rPr>
      <t xml:space="preserve">）</t>
    </r>
  </si>
  <si>
    <t xml:space="preserve">小倉庫（台灣倉庫租金）</t>
  </si>
  <si>
    <t xml:space="preserve">玉山活存交易明細</t>
  </si>
  <si>
    <t xml:space="preserve">旅費</t>
  </si>
  <si>
    <r>
      <rPr>
        <sz val="9"/>
        <color rgb="FF0F172A"/>
        <rFont val="WenQuanYi Zen Hei"/>
        <family val="2"/>
      </rPr>
      <t xml:space="preserve">林亞瑩</t>
    </r>
    <r>
      <rPr>
        <sz val="9"/>
        <color rgb="FF0F172A"/>
        <rFont val="Arial"/>
        <family val="0"/>
        <charset val="1"/>
      </rPr>
      <t xml:space="preserve">-8</t>
    </r>
    <r>
      <rPr>
        <sz val="9"/>
        <color rgb="FF0F172A"/>
        <rFont val="WenQuanYi Zen Hei"/>
        <family val="2"/>
      </rPr>
      <t xml:space="preserve">月香港出差</t>
    </r>
  </si>
  <si>
    <t xml:space="preserve">運費</t>
  </si>
  <si>
    <r>
      <rPr>
        <sz val="9"/>
        <color rgb="FF0F172A"/>
        <rFont val="WenQuanYi Zen Hei"/>
        <family val="2"/>
      </rPr>
      <t xml:space="preserve">順豐</t>
    </r>
    <r>
      <rPr>
        <sz val="9"/>
        <color rgb="FF0F172A"/>
        <rFont val="Arial"/>
        <family val="0"/>
        <charset val="1"/>
      </rPr>
      <t xml:space="preserve">-7</t>
    </r>
    <r>
      <rPr>
        <sz val="9"/>
        <color rgb="FF0F172A"/>
        <rFont val="WenQuanYi Zen Hei"/>
        <family val="2"/>
      </rPr>
      <t xml:space="preserve">月款</t>
    </r>
  </si>
  <si>
    <t xml:space="preserve">08/06~08/30</t>
  </si>
  <si>
    <r>
      <rPr>
        <sz val="9"/>
        <color rgb="FF0F172A"/>
        <rFont val="Arial"/>
        <family val="0"/>
        <charset val="1"/>
      </rPr>
      <t xml:space="preserve">Harbour City</t>
    </r>
    <r>
      <rPr>
        <sz val="9"/>
        <color rgb="FF0F172A"/>
        <rFont val="WenQuanYi Zen Hei"/>
        <family val="2"/>
      </rPr>
      <t xml:space="preserve">零用金</t>
    </r>
    <r>
      <rPr>
        <sz val="9"/>
        <color rgb="FF0F172A"/>
        <rFont val="Arial"/>
        <family val="0"/>
        <charset val="1"/>
      </rPr>
      <t xml:space="preserve">SF Express×8</t>
    </r>
    <r>
      <rPr>
        <sz val="9"/>
        <color rgb="FF0F172A"/>
        <rFont val="WenQuanYi Zen Hei"/>
        <family val="2"/>
      </rPr>
      <t xml:space="preserve">（</t>
    </r>
    <r>
      <rPr>
        <sz val="9"/>
        <color rgb="FF0F172A"/>
        <rFont val="Arial"/>
        <family val="0"/>
        <charset val="1"/>
      </rPr>
      <t xml:space="preserve">HKD4,064×4</t>
    </r>
    <r>
      <rPr>
        <sz val="9"/>
        <color rgb="FF0F172A"/>
        <rFont val="WenQuanYi Zen Hei"/>
        <family val="2"/>
      </rPr>
      <t xml:space="preserve">）</t>
    </r>
  </si>
  <si>
    <t xml:space="preserve">08/03~08/14</t>
  </si>
  <si>
    <r>
      <rPr>
        <sz val="9"/>
        <color rgb="FF0F172A"/>
        <rFont val="WenQuanYi Zen Hei"/>
        <family val="2"/>
      </rPr>
      <t xml:space="preserve">信義零用金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拉拉運費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客人退運費</t>
    </r>
  </si>
  <si>
    <r>
      <rPr>
        <i val="true"/>
        <sz val="8.5"/>
        <color rgb="FF475569"/>
        <rFont val="WenQuanYi Zen Hei"/>
        <family val="2"/>
      </rPr>
      <t xml:space="preserve">零用金</t>
    </r>
    <r>
      <rPr>
        <i val="true"/>
        <sz val="8.5"/>
        <color rgb="FF475569"/>
        <rFont val="Arial"/>
        <family val="0"/>
        <charset val="1"/>
      </rPr>
      <t xml:space="preserve">-</t>
    </r>
    <r>
      <rPr>
        <i val="true"/>
        <sz val="8.5"/>
        <color rgb="FF475569"/>
        <rFont val="WenQuanYi Zen Hei"/>
        <family val="2"/>
      </rPr>
      <t xml:space="preserve">信義</t>
    </r>
  </si>
  <si>
    <t xml:space="preserve">08/01~08/18</t>
  </si>
  <si>
    <r>
      <rPr>
        <sz val="9"/>
        <color rgb="FF0F172A"/>
        <rFont val="WenQuanYi Zen Hei"/>
        <family val="2"/>
      </rPr>
      <t xml:space="preserve">台中零用金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官網退運費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拉拉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黑貓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標籤運費</t>
    </r>
  </si>
  <si>
    <r>
      <rPr>
        <i val="true"/>
        <sz val="8.5"/>
        <color rgb="FF475569"/>
        <rFont val="WenQuanYi Zen Hei"/>
        <family val="2"/>
      </rPr>
      <t xml:space="preserve">零用金</t>
    </r>
    <r>
      <rPr>
        <i val="true"/>
        <sz val="8.5"/>
        <color rgb="FF475569"/>
        <rFont val="Arial"/>
        <family val="0"/>
        <charset val="1"/>
      </rPr>
      <t xml:space="preserve">-</t>
    </r>
    <r>
      <rPr>
        <i val="true"/>
        <sz val="8.5"/>
        <color rgb="FF475569"/>
        <rFont val="WenQuanYi Zen Hei"/>
        <family val="2"/>
      </rPr>
      <t xml:space="preserve">台中</t>
    </r>
  </si>
  <si>
    <t xml:space="preserve">郵電費</t>
  </si>
  <si>
    <r>
      <rPr>
        <sz val="9"/>
        <color rgb="FF0F172A"/>
        <rFont val="WenQuanYi Zen Hei"/>
        <family val="2"/>
      </rPr>
      <t xml:space="preserve">中華電信</t>
    </r>
    <r>
      <rPr>
        <sz val="9"/>
        <color rgb="FF0F172A"/>
        <rFont val="Arial"/>
        <family val="0"/>
        <charset val="1"/>
      </rPr>
      <t xml:space="preserve">0933xxx37</t>
    </r>
  </si>
  <si>
    <r>
      <rPr>
        <sz val="9"/>
        <color rgb="FF0F172A"/>
        <rFont val="WenQuanYi Zen Hei"/>
        <family val="2"/>
      </rPr>
      <t xml:space="preserve">中華電信</t>
    </r>
    <r>
      <rPr>
        <sz val="9"/>
        <color rgb="FF0F172A"/>
        <rFont val="Arial"/>
        <family val="0"/>
        <charset val="1"/>
      </rPr>
      <t xml:space="preserve">0910xxx37</t>
    </r>
  </si>
  <si>
    <r>
      <rPr>
        <sz val="9"/>
        <color rgb="FF0F172A"/>
        <rFont val="WenQuanYi Zen Hei"/>
        <family val="2"/>
      </rPr>
      <t xml:space="preserve">中華電信</t>
    </r>
    <r>
      <rPr>
        <sz val="9"/>
        <color rgb="FF0F172A"/>
        <rFont val="Arial"/>
        <family val="0"/>
        <charset val="1"/>
      </rPr>
      <t xml:space="preserve">0912xxx36</t>
    </r>
  </si>
  <si>
    <r>
      <rPr>
        <sz val="9"/>
        <color rgb="FF0F172A"/>
        <rFont val="WenQuanYi Zen Hei"/>
        <family val="2"/>
      </rPr>
      <t xml:space="preserve">中華電信</t>
    </r>
    <r>
      <rPr>
        <sz val="9"/>
        <color rgb="FF0F172A"/>
        <rFont val="Arial"/>
        <family val="0"/>
        <charset val="1"/>
      </rPr>
      <t xml:space="preserve">0963xxx52</t>
    </r>
  </si>
  <si>
    <r>
      <rPr>
        <sz val="9"/>
        <color rgb="FF0F172A"/>
        <rFont val="WenQuanYi Zen Hei"/>
        <family val="2"/>
      </rPr>
      <t xml:space="preserve">中華電信</t>
    </r>
    <r>
      <rPr>
        <sz val="9"/>
        <color rgb="FF0F172A"/>
        <rFont val="Arial"/>
        <family val="0"/>
        <charset val="1"/>
      </rPr>
      <t xml:space="preserve">0963xxx82</t>
    </r>
  </si>
  <si>
    <r>
      <rPr>
        <sz val="9"/>
        <color rgb="FF0F172A"/>
        <rFont val="WenQuanYi Zen Hei"/>
        <family val="2"/>
      </rPr>
      <t xml:space="preserve">中華電信</t>
    </r>
    <r>
      <rPr>
        <sz val="9"/>
        <color rgb="FF0F172A"/>
        <rFont val="Arial"/>
        <family val="0"/>
        <charset val="1"/>
      </rPr>
      <t xml:space="preserve">0910xxx51</t>
    </r>
  </si>
  <si>
    <t xml:space="preserve">廣告費</t>
  </si>
  <si>
    <t xml:space="preserve">08/12~08/29</t>
  </si>
  <si>
    <r>
      <rPr>
        <sz val="9"/>
        <color rgb="FF0F172A"/>
        <rFont val="WenQuanYi Zen Hei"/>
        <family val="2"/>
      </rPr>
      <t xml:space="preserve">玉山信用卡</t>
    </r>
    <r>
      <rPr>
        <sz val="9"/>
        <color rgb="FF0F172A"/>
        <rFont val="Arial"/>
        <family val="0"/>
        <charset val="1"/>
      </rPr>
      <t xml:space="preserve">Facebook</t>
    </r>
    <r>
      <rPr>
        <sz val="9"/>
        <color rgb="FF0F172A"/>
        <rFont val="WenQuanYi Zen Hei"/>
        <family val="2"/>
      </rPr>
      <t xml:space="preserve">廣告</t>
    </r>
    <r>
      <rPr>
        <sz val="9"/>
        <color rgb="FF0F172A"/>
        <rFont val="Arial"/>
        <family val="0"/>
        <charset val="1"/>
      </rPr>
      <t xml:space="preserve">×19</t>
    </r>
    <r>
      <rPr>
        <sz val="9"/>
        <color rgb="FF0F172A"/>
        <rFont val="WenQuanYi Zen Hei"/>
        <family val="2"/>
      </rPr>
      <t xml:space="preserve">（含國外交易服務費）</t>
    </r>
  </si>
  <si>
    <t xml:space="preserve">08/13,08/08</t>
  </si>
  <si>
    <r>
      <rPr>
        <sz val="9"/>
        <color rgb="FF0F172A"/>
        <rFont val="WenQuanYi Zen Hei"/>
        <family val="2"/>
      </rPr>
      <t xml:space="preserve">微信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小紅書</t>
    </r>
    <r>
      <rPr>
        <sz val="9"/>
        <color rgb="FF0F172A"/>
        <rFont val="Arial"/>
        <family val="0"/>
        <charset val="1"/>
      </rPr>
      <t xml:space="preserve">×2</t>
    </r>
    <r>
      <rPr>
        <sz val="9"/>
        <color rgb="FF0F172A"/>
        <rFont val="WenQuanYi Zen Hei"/>
        <family val="2"/>
      </rPr>
      <t xml:space="preserve">（</t>
    </r>
    <r>
      <rPr>
        <sz val="9"/>
        <color rgb="FF0F172A"/>
        <rFont val="Arial"/>
        <family val="0"/>
        <charset val="1"/>
      </rPr>
      <t xml:space="preserve">RMB4.97×5</t>
    </r>
    <r>
      <rPr>
        <sz val="9"/>
        <color rgb="FF0F172A"/>
        <rFont val="WenQuanYi Zen Hei"/>
        <family val="2"/>
      </rPr>
      <t xml:space="preserve">）</t>
    </r>
  </si>
  <si>
    <t xml:space="preserve">08/14</t>
  </si>
  <si>
    <r>
      <rPr>
        <sz val="9"/>
        <color rgb="FF0F172A"/>
        <rFont val="WenQuanYi Zen Hei"/>
        <family val="2"/>
      </rPr>
      <t xml:space="preserve">玉山活存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廣告費差額轉帳</t>
    </r>
  </si>
  <si>
    <t xml:space="preserve">水電瓦斯費</t>
  </si>
  <si>
    <t xml:space="preserve">08/29</t>
  </si>
  <si>
    <r>
      <rPr>
        <sz val="9"/>
        <color rgb="FF0F172A"/>
        <rFont val="Arial"/>
        <family val="0"/>
        <charset val="1"/>
      </rPr>
      <t xml:space="preserve">Harbour City-Chole</t>
    </r>
    <r>
      <rPr>
        <sz val="9"/>
        <color rgb="FF0F172A"/>
        <rFont val="WenQuanYi Zen Hei"/>
        <family val="2"/>
      </rPr>
      <t xml:space="preserve">代繳電費（</t>
    </r>
    <r>
      <rPr>
        <sz val="9"/>
        <color rgb="FF0F172A"/>
        <rFont val="Arial"/>
        <family val="0"/>
        <charset val="1"/>
      </rPr>
      <t xml:space="preserve">HKD280×4</t>
    </r>
    <r>
      <rPr>
        <sz val="9"/>
        <color rgb="FF0F172A"/>
        <rFont val="WenQuanYi Zen Hei"/>
        <family val="2"/>
      </rPr>
      <t xml:space="preserve">）</t>
    </r>
  </si>
  <si>
    <r>
      <rPr>
        <b val="true"/>
        <sz val="10.5"/>
        <color rgb="FF0F172A"/>
        <rFont val="WenQuanYi Zen Hei"/>
        <family val="2"/>
      </rPr>
      <t xml:space="preserve">保險費</t>
    </r>
    <r>
      <rPr>
        <b val="true"/>
        <sz val="10.5"/>
        <color rgb="FF0F172A"/>
        <rFont val="Arial"/>
        <family val="0"/>
        <charset val="1"/>
      </rPr>
      <t xml:space="preserve">-</t>
    </r>
    <r>
      <rPr>
        <b val="true"/>
        <sz val="10.5"/>
        <color rgb="FF0F172A"/>
        <rFont val="WenQuanYi Zen Hei"/>
        <family val="2"/>
      </rPr>
      <t xml:space="preserve">健保費</t>
    </r>
  </si>
  <si>
    <r>
      <rPr>
        <sz val="9"/>
        <color rgb="FF0F172A"/>
        <rFont val="WenQuanYi Zen Hei"/>
        <family val="2"/>
      </rPr>
      <t xml:space="preserve">健保局</t>
    </r>
    <r>
      <rPr>
        <sz val="9"/>
        <color rgb="FF0F172A"/>
        <rFont val="Arial"/>
        <family val="0"/>
        <charset val="1"/>
      </rPr>
      <t xml:space="preserve">-8</t>
    </r>
    <r>
      <rPr>
        <sz val="9"/>
        <color rgb="FF0F172A"/>
        <rFont val="WenQuanYi Zen Hei"/>
        <family val="2"/>
      </rPr>
      <t xml:space="preserve">月健保費</t>
    </r>
  </si>
  <si>
    <r>
      <rPr>
        <b val="true"/>
        <sz val="10.5"/>
        <color rgb="FF0F172A"/>
        <rFont val="WenQuanYi Zen Hei"/>
        <family val="2"/>
      </rPr>
      <t xml:space="preserve">保險費</t>
    </r>
    <r>
      <rPr>
        <b val="true"/>
        <sz val="10.5"/>
        <color rgb="FF0F172A"/>
        <rFont val="Arial"/>
        <family val="0"/>
        <charset val="1"/>
      </rPr>
      <t xml:space="preserve">-</t>
    </r>
    <r>
      <rPr>
        <b val="true"/>
        <sz val="10.5"/>
        <color rgb="FF0F172A"/>
        <rFont val="WenQuanYi Zen Hei"/>
        <family val="2"/>
      </rPr>
      <t xml:space="preserve">勞保費</t>
    </r>
  </si>
  <si>
    <r>
      <rPr>
        <sz val="9"/>
        <color rgb="FF0F172A"/>
        <rFont val="WenQuanYi Zen Hei"/>
        <family val="2"/>
      </rPr>
      <t xml:space="preserve">勞保局</t>
    </r>
    <r>
      <rPr>
        <sz val="9"/>
        <color rgb="FF0F172A"/>
        <rFont val="Arial"/>
        <family val="0"/>
        <charset val="1"/>
      </rPr>
      <t xml:space="preserve">-8</t>
    </r>
    <r>
      <rPr>
        <sz val="9"/>
        <color rgb="FF0F172A"/>
        <rFont val="WenQuanYi Zen Hei"/>
        <family val="2"/>
      </rPr>
      <t xml:space="preserve">月勞保費</t>
    </r>
  </si>
  <si>
    <t xml:space="preserve">研究費</t>
  </si>
  <si>
    <r>
      <rPr>
        <sz val="9"/>
        <color rgb="FF0F172A"/>
        <rFont val="WenQuanYi Zen Hei"/>
        <family val="2"/>
      </rPr>
      <t xml:space="preserve">轉給</t>
    </r>
    <r>
      <rPr>
        <sz val="9"/>
        <color rgb="FF0F172A"/>
        <rFont val="Arial"/>
        <family val="0"/>
        <charset val="1"/>
      </rPr>
      <t xml:space="preserve">WGSN</t>
    </r>
    <r>
      <rPr>
        <sz val="9"/>
        <color rgb="FF0F172A"/>
        <rFont val="WenQuanYi Zen Hei"/>
        <family val="2"/>
      </rPr>
      <t xml:space="preserve">趨勢預測服務（</t>
    </r>
    <r>
      <rPr>
        <sz val="9"/>
        <color rgb="FF0F172A"/>
        <rFont val="Arial"/>
        <family val="0"/>
        <charset val="1"/>
      </rPr>
      <t xml:space="preserve">RMB680×5</t>
    </r>
    <r>
      <rPr>
        <sz val="9"/>
        <color rgb="FF0F172A"/>
        <rFont val="WenQuanYi Zen Hei"/>
        <family val="2"/>
      </rPr>
      <t xml:space="preserve">）</t>
    </r>
  </si>
  <si>
    <t xml:space="preserve">訓練費</t>
  </si>
  <si>
    <r>
      <rPr>
        <sz val="9"/>
        <color rgb="FF0F172A"/>
        <rFont val="Arial"/>
        <family val="0"/>
        <charset val="1"/>
      </rPr>
      <t xml:space="preserve">vivi-</t>
    </r>
    <r>
      <rPr>
        <sz val="9"/>
        <color rgb="FF0F172A"/>
        <rFont val="WenQuanYi Zen Hei"/>
        <family val="2"/>
      </rPr>
      <t xml:space="preserve">台中教學費用</t>
    </r>
  </si>
  <si>
    <r>
      <rPr>
        <sz val="9"/>
        <color rgb="FF0F172A"/>
        <rFont val="Arial"/>
        <family val="0"/>
        <charset val="1"/>
      </rPr>
      <t xml:space="preserve">vivi-</t>
    </r>
    <r>
      <rPr>
        <sz val="9"/>
        <color rgb="FF0F172A"/>
        <rFont val="WenQuanYi Zen Hei"/>
        <family val="2"/>
      </rPr>
      <t xml:space="preserve">線上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台中授課（</t>
    </r>
    <r>
      <rPr>
        <sz val="9"/>
        <color rgb="FF0F172A"/>
        <rFont val="Arial"/>
        <family val="0"/>
        <charset val="1"/>
      </rPr>
      <t xml:space="preserve">8</t>
    </r>
    <r>
      <rPr>
        <sz val="9"/>
        <color rgb="FF0F172A"/>
        <rFont val="WenQuanYi Zen Hei"/>
        <family val="2"/>
      </rPr>
      <t xml:space="preserve">月共）</t>
    </r>
  </si>
  <si>
    <t xml:space="preserve">其他費用</t>
  </si>
  <si>
    <r>
      <rPr>
        <sz val="9"/>
        <color rgb="FF0F172A"/>
        <rFont val="WenQuanYi Zen Hei"/>
        <family val="2"/>
      </rPr>
      <t xml:space="preserve">知通</t>
    </r>
    <r>
      <rPr>
        <sz val="9"/>
        <color rgb="FF0F172A"/>
        <rFont val="Arial"/>
        <family val="0"/>
        <charset val="1"/>
      </rPr>
      <t xml:space="preserve">-7</t>
    </r>
    <r>
      <rPr>
        <sz val="9"/>
        <color rgb="FF0F172A"/>
        <rFont val="WenQuanYi Zen Hei"/>
        <family val="2"/>
      </rPr>
      <t xml:space="preserve">月款（歸屬</t>
    </r>
    <r>
      <rPr>
        <sz val="9"/>
        <color rgb="FF0F172A"/>
        <rFont val="Arial"/>
        <family val="0"/>
        <charset val="1"/>
      </rPr>
      <t xml:space="preserve">8</t>
    </r>
    <r>
      <rPr>
        <sz val="9"/>
        <color rgb="FF0F172A"/>
        <rFont val="WenQuanYi Zen Hei"/>
        <family val="2"/>
      </rPr>
      <t xml:space="preserve">月）</t>
    </r>
  </si>
  <si>
    <t xml:space="preserve">08/05</t>
  </si>
  <si>
    <r>
      <rPr>
        <sz val="9"/>
        <color rgb="FF0F172A"/>
        <rFont val="WenQuanYi Zen Hei"/>
        <family val="2"/>
      </rPr>
      <t xml:space="preserve">大遠百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業務扣款發票</t>
    </r>
    <r>
      <rPr>
        <sz val="9"/>
        <color rgb="FF0F172A"/>
        <rFont val="Arial"/>
        <family val="0"/>
        <charset val="1"/>
      </rPr>
      <t xml:space="preserve">CR48701736</t>
    </r>
  </si>
  <si>
    <r>
      <rPr>
        <sz val="9"/>
        <color rgb="FF0F172A"/>
        <rFont val="WenQuanYi Zen Hei"/>
        <family val="2"/>
      </rPr>
      <t xml:space="preserve">大遠百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扣款明細（收銀機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廣告補助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刷卡手續費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電費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公管費等）</t>
    </r>
  </si>
  <si>
    <t xml:space="preserve">雜項購置</t>
  </si>
  <si>
    <t xml:space="preserve">08/27</t>
  </si>
  <si>
    <r>
      <rPr>
        <sz val="9"/>
        <color rgb="FF0F172A"/>
        <rFont val="Arial"/>
        <family val="0"/>
        <charset val="1"/>
      </rPr>
      <t xml:space="preserve">Harbour City-</t>
    </r>
    <r>
      <rPr>
        <sz val="9"/>
        <color rgb="FF0F172A"/>
        <rFont val="WenQuanYi Zen Hei"/>
        <family val="2"/>
      </rPr>
      <t xml:space="preserve">排插（</t>
    </r>
    <r>
      <rPr>
        <sz val="9"/>
        <color rgb="FF0F172A"/>
        <rFont val="Arial"/>
        <family val="0"/>
        <charset val="1"/>
      </rPr>
      <t xml:space="preserve">HKD308×4</t>
    </r>
    <r>
      <rPr>
        <sz val="9"/>
        <color rgb="FF0F172A"/>
        <rFont val="WenQuanYi Zen Hei"/>
        <family val="2"/>
      </rPr>
      <t xml:space="preserve">）</t>
    </r>
  </si>
  <si>
    <t xml:space="preserve">08/26</t>
  </si>
  <si>
    <r>
      <rPr>
        <sz val="9"/>
        <color rgb="FF0F172A"/>
        <rFont val="WenQuanYi Zen Hei"/>
        <family val="2"/>
      </rPr>
      <t xml:space="preserve">信義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海港城廣告牌</t>
    </r>
  </si>
  <si>
    <t xml:space="preserve">手續費</t>
  </si>
  <si>
    <r>
      <rPr>
        <sz val="9"/>
        <color rgb="FF0F172A"/>
        <rFont val="WenQuanYi Zen Hei"/>
        <family val="2"/>
      </rPr>
      <t xml:space="preserve">支付明細表</t>
    </r>
    <r>
      <rPr>
        <sz val="9"/>
        <color rgb="FF0F172A"/>
        <rFont val="Arial"/>
        <family val="0"/>
        <charset val="1"/>
      </rPr>
      <t xml:space="preserve">19</t>
    </r>
    <r>
      <rPr>
        <sz val="9"/>
        <color rgb="FF0F172A"/>
        <rFont val="WenQuanYi Zen Hei"/>
        <family val="2"/>
      </rPr>
      <t xml:space="preserve">筆匯款手續費（送審日期</t>
    </r>
    <r>
      <rPr>
        <sz val="9"/>
        <color rgb="FF0F172A"/>
        <rFont val="Arial"/>
        <family val="0"/>
        <charset val="1"/>
      </rPr>
      <t xml:space="preserve">8</t>
    </r>
    <r>
      <rPr>
        <sz val="9"/>
        <color rgb="FF0F172A"/>
        <rFont val="WenQuanYi Zen Hei"/>
        <family val="2"/>
      </rPr>
      <t xml:space="preserve">月）合計</t>
    </r>
  </si>
  <si>
    <t xml:space="preserve">交通費</t>
  </si>
  <si>
    <r>
      <rPr>
        <sz val="9"/>
        <color rgb="FF0F172A"/>
        <rFont val="Arial"/>
        <family val="0"/>
        <charset val="1"/>
      </rPr>
      <t xml:space="preserve">Daphne</t>
    </r>
    <r>
      <rPr>
        <sz val="9"/>
        <color rgb="FF0F172A"/>
        <rFont val="WenQuanYi Zen Hei"/>
        <family val="2"/>
      </rPr>
      <t xml:space="preserve">代墊</t>
    </r>
    <r>
      <rPr>
        <sz val="9"/>
        <color rgb="FF0F172A"/>
        <rFont val="Arial"/>
        <family val="0"/>
        <charset val="1"/>
      </rPr>
      <t xml:space="preserve">-Viivi 9/1-9/5</t>
    </r>
    <r>
      <rPr>
        <sz val="9"/>
        <color rgb="FF0F172A"/>
        <rFont val="WenQuanYi Zen Hei"/>
        <family val="2"/>
      </rPr>
      <t xml:space="preserve">機票</t>
    </r>
  </si>
  <si>
    <t xml:space="preserve">08/20</t>
  </si>
  <si>
    <r>
      <rPr>
        <sz val="9"/>
        <color rgb="FF0F172A"/>
        <rFont val="WenQuanYi Zen Hei"/>
        <family val="2"/>
      </rPr>
      <t xml:space="preserve">台中</t>
    </r>
    <r>
      <rPr>
        <sz val="9"/>
        <color rgb="FF0F172A"/>
        <rFont val="Arial"/>
        <family val="0"/>
        <charset val="1"/>
      </rPr>
      <t xml:space="preserve">-7/10</t>
    </r>
    <r>
      <rPr>
        <sz val="9"/>
        <color rgb="FF0F172A"/>
        <rFont val="WenQuanYi Zen Hei"/>
        <family val="2"/>
      </rPr>
      <t xml:space="preserve">颱風假乘車</t>
    </r>
    <r>
      <rPr>
        <sz val="9"/>
        <color rgb="FF0F172A"/>
        <rFont val="Arial"/>
        <family val="0"/>
        <charset val="1"/>
      </rPr>
      <t xml:space="preserve">(</t>
    </r>
    <r>
      <rPr>
        <sz val="9"/>
        <color rgb="FF0F172A"/>
        <rFont val="WenQuanYi Zen Hei"/>
        <family val="2"/>
      </rPr>
      <t xml:space="preserve">上班</t>
    </r>
    <r>
      <rPr>
        <sz val="9"/>
        <color rgb="FF0F172A"/>
        <rFont val="Arial"/>
        <family val="0"/>
        <charset val="1"/>
      </rPr>
      <t xml:space="preserve">)Amy</t>
    </r>
    <r>
      <rPr>
        <sz val="9"/>
        <color rgb="FF0F172A"/>
        <rFont val="WenQuanYi Zen Hei"/>
        <family val="2"/>
      </rPr>
      <t xml:space="preserve">楊景茨</t>
    </r>
  </si>
  <si>
    <r>
      <rPr>
        <sz val="9"/>
        <color rgb="FF0F172A"/>
        <rFont val="WenQuanYi Zen Hei"/>
        <family val="2"/>
      </rPr>
      <t xml:space="preserve">台中</t>
    </r>
    <r>
      <rPr>
        <sz val="9"/>
        <color rgb="FF0F172A"/>
        <rFont val="Arial"/>
        <family val="0"/>
        <charset val="1"/>
      </rPr>
      <t xml:space="preserve">-7/10</t>
    </r>
    <r>
      <rPr>
        <sz val="9"/>
        <color rgb="FF0F172A"/>
        <rFont val="WenQuanYi Zen Hei"/>
        <family val="2"/>
      </rPr>
      <t xml:space="preserve">颱風假乘車</t>
    </r>
    <r>
      <rPr>
        <sz val="9"/>
        <color rgb="FF0F172A"/>
        <rFont val="Arial"/>
        <family val="0"/>
        <charset val="1"/>
      </rPr>
      <t xml:space="preserve">(</t>
    </r>
    <r>
      <rPr>
        <sz val="9"/>
        <color rgb="FF0F172A"/>
        <rFont val="WenQuanYi Zen Hei"/>
        <family val="2"/>
      </rPr>
      <t xml:space="preserve">上班</t>
    </r>
    <r>
      <rPr>
        <sz val="9"/>
        <color rgb="FF0F172A"/>
        <rFont val="Arial"/>
        <family val="0"/>
        <charset val="1"/>
      </rPr>
      <t xml:space="preserve">)Yuni</t>
    </r>
    <r>
      <rPr>
        <sz val="9"/>
        <color rgb="FF0F172A"/>
        <rFont val="WenQuanYi Zen Hei"/>
        <family val="2"/>
      </rPr>
      <t xml:space="preserve">沈予新</t>
    </r>
  </si>
  <si>
    <r>
      <rPr>
        <sz val="9"/>
        <color rgb="FF0F172A"/>
        <rFont val="WenQuanYi Zen Hei"/>
        <family val="2"/>
      </rPr>
      <t xml:space="preserve">台中</t>
    </r>
    <r>
      <rPr>
        <sz val="9"/>
        <color rgb="FF0F172A"/>
        <rFont val="Arial"/>
        <family val="0"/>
        <charset val="1"/>
      </rPr>
      <t xml:space="preserve">-7/10</t>
    </r>
    <r>
      <rPr>
        <sz val="9"/>
        <color rgb="FF0F172A"/>
        <rFont val="WenQuanYi Zen Hei"/>
        <family val="2"/>
      </rPr>
      <t xml:space="preserve">颱風假乘車</t>
    </r>
    <r>
      <rPr>
        <sz val="9"/>
        <color rgb="FF0F172A"/>
        <rFont val="Arial"/>
        <family val="0"/>
        <charset val="1"/>
      </rPr>
      <t xml:space="preserve">(</t>
    </r>
    <r>
      <rPr>
        <sz val="9"/>
        <color rgb="FF0F172A"/>
        <rFont val="WenQuanYi Zen Hei"/>
        <family val="2"/>
      </rPr>
      <t xml:space="preserve">下班</t>
    </r>
    <r>
      <rPr>
        <sz val="9"/>
        <color rgb="FF0F172A"/>
        <rFont val="Arial"/>
        <family val="0"/>
        <charset val="1"/>
      </rPr>
      <t xml:space="preserve">)Amy</t>
    </r>
    <r>
      <rPr>
        <sz val="9"/>
        <color rgb="FF0F172A"/>
        <rFont val="WenQuanYi Zen Hei"/>
        <family val="2"/>
      </rPr>
      <t xml:space="preserve">楊景茨</t>
    </r>
  </si>
  <si>
    <r>
      <rPr>
        <sz val="9"/>
        <color rgb="FF0F172A"/>
        <rFont val="WenQuanYi Zen Hei"/>
        <family val="2"/>
      </rPr>
      <t xml:space="preserve">台中</t>
    </r>
    <r>
      <rPr>
        <sz val="9"/>
        <color rgb="FF0F172A"/>
        <rFont val="Arial"/>
        <family val="0"/>
        <charset val="1"/>
      </rPr>
      <t xml:space="preserve">-7/10</t>
    </r>
    <r>
      <rPr>
        <sz val="9"/>
        <color rgb="FF0F172A"/>
        <rFont val="WenQuanYi Zen Hei"/>
        <family val="2"/>
      </rPr>
      <t xml:space="preserve">颱風假乘車</t>
    </r>
    <r>
      <rPr>
        <sz val="9"/>
        <color rgb="FF0F172A"/>
        <rFont val="Arial"/>
        <family val="0"/>
        <charset val="1"/>
      </rPr>
      <t xml:space="preserve">(</t>
    </r>
    <r>
      <rPr>
        <sz val="9"/>
        <color rgb="FF0F172A"/>
        <rFont val="WenQuanYi Zen Hei"/>
        <family val="2"/>
      </rPr>
      <t xml:space="preserve">下班</t>
    </r>
    <r>
      <rPr>
        <sz val="9"/>
        <color rgb="FF0F172A"/>
        <rFont val="Arial"/>
        <family val="0"/>
        <charset val="1"/>
      </rPr>
      <t xml:space="preserve">)Yuni</t>
    </r>
    <r>
      <rPr>
        <sz val="9"/>
        <color rgb="FF0F172A"/>
        <rFont val="WenQuanYi Zen Hei"/>
        <family val="2"/>
      </rPr>
      <t xml:space="preserve">沈予新</t>
    </r>
  </si>
  <si>
    <t xml:space="preserve">軟體使用費</t>
  </si>
  <si>
    <t xml:space="preserve">08/12</t>
  </si>
  <si>
    <t xml:space="preserve">PayPal-Adobe</t>
  </si>
  <si>
    <t xml:space="preserve">PayPal-Squarespace</t>
  </si>
  <si>
    <t xml:space="preserve">08/16</t>
  </si>
  <si>
    <t xml:space="preserve">Apple.com/Bill</t>
  </si>
  <si>
    <t xml:space="preserve">利害短網址有限公司</t>
  </si>
  <si>
    <t xml:space="preserve">08/22</t>
  </si>
  <si>
    <t xml:space="preserve">Notion</t>
  </si>
  <si>
    <t xml:space="preserve">08/30</t>
  </si>
  <si>
    <t xml:space="preserve">雜費</t>
  </si>
  <si>
    <r>
      <rPr>
        <sz val="9"/>
        <color rgb="FF0F172A"/>
        <rFont val="WenQuanYi Zen Hei"/>
        <family val="2"/>
      </rPr>
      <t xml:space="preserve">段軍辰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代墊費（明細未載說明）</t>
    </r>
  </si>
  <si>
    <t xml:space="preserve">08/01~08/30</t>
  </si>
  <si>
    <r>
      <rPr>
        <sz val="9"/>
        <color rgb="FF0F172A"/>
        <rFont val="Arial"/>
        <family val="0"/>
        <charset val="1"/>
      </rPr>
      <t xml:space="preserve">Harbour City-</t>
    </r>
    <r>
      <rPr>
        <sz val="9"/>
        <color rgb="FF0F172A"/>
        <rFont val="WenQuanYi Zen Hei"/>
        <family val="2"/>
      </rPr>
      <t xml:space="preserve">紙巾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鎖匙費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濕紙巾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垃圾袋（</t>
    </r>
    <r>
      <rPr>
        <sz val="9"/>
        <color rgb="FF0F172A"/>
        <rFont val="Arial"/>
        <family val="0"/>
        <charset val="1"/>
      </rPr>
      <t xml:space="preserve">HKD712×4</t>
    </r>
    <r>
      <rPr>
        <sz val="9"/>
        <color rgb="FF0F172A"/>
        <rFont val="WenQuanYi Zen Hei"/>
        <family val="2"/>
      </rPr>
      <t xml:space="preserve">）</t>
    </r>
  </si>
  <si>
    <t xml:space="preserve">08/11~08/26</t>
  </si>
  <si>
    <r>
      <rPr>
        <sz val="9"/>
        <color rgb="FF0F172A"/>
        <rFont val="WenQuanYi Zen Hei"/>
        <family val="2"/>
      </rPr>
      <t xml:space="preserve">信義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濕紙巾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擦塵紙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塑膠夾</t>
    </r>
  </si>
  <si>
    <t xml:space="preserve">08/19</t>
  </si>
  <si>
    <r>
      <rPr>
        <sz val="9"/>
        <color rgb="FF0F172A"/>
        <rFont val="WenQuanYi Zen Hei"/>
        <family val="2"/>
      </rPr>
      <t xml:space="preserve">微信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查看報告（</t>
    </r>
    <r>
      <rPr>
        <sz val="9"/>
        <color rgb="FF0F172A"/>
        <rFont val="Arial"/>
        <family val="0"/>
        <charset val="1"/>
      </rPr>
      <t xml:space="preserve">RMB9.90×5</t>
    </r>
    <r>
      <rPr>
        <sz val="9"/>
        <color rgb="FF0F172A"/>
        <rFont val="WenQuanYi Zen Hei"/>
        <family val="2"/>
      </rPr>
      <t xml:space="preserve">）</t>
    </r>
  </si>
  <si>
    <t xml:space="preserve">08/12,08/14</t>
  </si>
  <si>
    <r>
      <rPr>
        <sz val="9"/>
        <color rgb="FF0F172A"/>
        <rFont val="WenQuanYi Zen Hei"/>
        <family val="2"/>
      </rPr>
      <t xml:space="preserve">信義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遠百修改室修改維修件</t>
    </r>
  </si>
  <si>
    <t xml:space="preserve">08/05,08/13</t>
  </si>
  <si>
    <r>
      <rPr>
        <sz val="9"/>
        <color rgb="FF0F172A"/>
        <rFont val="WenQuanYi Zen Hei"/>
        <family val="2"/>
      </rPr>
      <t xml:space="preserve">台中</t>
    </r>
    <r>
      <rPr>
        <sz val="9"/>
        <color rgb="FF0F172A"/>
        <rFont val="Arial"/>
        <family val="0"/>
        <charset val="1"/>
      </rPr>
      <t xml:space="preserve">-</t>
    </r>
    <r>
      <rPr>
        <sz val="9"/>
        <color rgb="FF0F172A"/>
        <rFont val="WenQuanYi Zen Hei"/>
        <family val="2"/>
      </rPr>
      <t xml:space="preserve">洋裝維修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WenQuanYi Zen Hei"/>
        <family val="2"/>
      </rPr>
      <t xml:space="preserve">泳裝維修</t>
    </r>
  </si>
  <si>
    <t xml:space="preserve">退休金</t>
  </si>
  <si>
    <r>
      <rPr>
        <sz val="9"/>
        <color rgb="FF0F172A"/>
        <rFont val="WenQuanYi Zen Hei"/>
        <family val="2"/>
      </rPr>
      <t xml:space="preserve">勞保局</t>
    </r>
    <r>
      <rPr>
        <sz val="9"/>
        <color rgb="FF0F172A"/>
        <rFont val="Arial"/>
        <family val="0"/>
        <charset val="1"/>
      </rPr>
      <t xml:space="preserve">-8</t>
    </r>
    <r>
      <rPr>
        <sz val="9"/>
        <color rgb="FF0F172A"/>
        <rFont val="WenQuanYi Zen Hei"/>
        <family val="2"/>
      </rPr>
      <t xml:space="preserve">月退休金</t>
    </r>
  </si>
  <si>
    <t xml:space="preserve">利息支出</t>
  </si>
  <si>
    <t xml:space="preserve">08/24</t>
  </si>
  <si>
    <r>
      <rPr>
        <sz val="9"/>
        <color rgb="FF0F172A"/>
        <rFont val="WenQuanYi Zen Hei"/>
        <family val="2"/>
      </rPr>
      <t xml:space="preserve">貸款利息（帳號</t>
    </r>
    <r>
      <rPr>
        <sz val="9"/>
        <color rgb="FF0F172A"/>
        <rFont val="Arial"/>
        <family val="0"/>
        <charset val="1"/>
      </rPr>
      <t xml:space="preserve">146479218</t>
    </r>
    <r>
      <rPr>
        <sz val="9"/>
        <color rgb="FF0F172A"/>
        <rFont val="WenQuanYi Zen Hei"/>
        <family val="2"/>
      </rPr>
      <t xml:space="preserve">）</t>
    </r>
  </si>
  <si>
    <r>
      <rPr>
        <sz val="9"/>
        <color rgb="FF0F172A"/>
        <rFont val="WenQuanYi Zen Hei"/>
        <family val="2"/>
      </rPr>
      <t xml:space="preserve">貸款利息（帳號</t>
    </r>
    <r>
      <rPr>
        <sz val="9"/>
        <color rgb="FF0F172A"/>
        <rFont val="Arial"/>
        <family val="0"/>
        <charset val="1"/>
      </rPr>
      <t xml:space="preserve">153906294</t>
    </r>
    <r>
      <rPr>
        <sz val="9"/>
        <color rgb="FF0F172A"/>
        <rFont val="WenQuanYi Zen Hei"/>
        <family val="2"/>
      </rPr>
      <t xml:space="preserve">）</t>
    </r>
  </si>
  <si>
    <t xml:space="preserve">每個科目的粗體小計應與「損益表」工作表對應科目金額一致（已逐項核對）。</t>
  </si>
  <si>
    <r>
      <rPr>
        <i val="true"/>
        <sz val="8.5"/>
        <color rgb="FF475569"/>
        <rFont val="WenQuanYi Zen Hei"/>
        <family val="2"/>
      </rPr>
      <t xml:space="preserve">港幣項目按匯率</t>
    </r>
    <r>
      <rPr>
        <i val="true"/>
        <sz val="8.5"/>
        <color rgb="FF475569"/>
        <rFont val="Arial"/>
        <family val="0"/>
        <charset val="1"/>
      </rPr>
      <t xml:space="preserve">4</t>
    </r>
    <r>
      <rPr>
        <i val="true"/>
        <sz val="8.5"/>
        <color rgb="FF475569"/>
        <rFont val="WenQuanYi Zen Hei"/>
        <family val="2"/>
      </rPr>
      <t xml:space="preserve">、人民幣項目按匯率</t>
    </r>
    <r>
      <rPr>
        <i val="true"/>
        <sz val="8.5"/>
        <color rgb="FF475569"/>
        <rFont val="Arial"/>
        <family val="0"/>
        <charset val="1"/>
      </rPr>
      <t xml:space="preserve">5</t>
    </r>
    <r>
      <rPr>
        <i val="true"/>
        <sz val="8.5"/>
        <color rgb="FF475569"/>
        <rFont val="WenQuanYi Zen Hei"/>
        <family val="2"/>
      </rPr>
      <t xml:space="preserve">折算為新台幣，並於摘要註明原始外幣金額。</t>
    </r>
  </si>
  <si>
    <r>
      <rPr>
        <i val="true"/>
        <sz val="8.5"/>
        <color rgb="FF475569"/>
        <rFont val="WenQuanYi Zen Hei"/>
        <family val="2"/>
      </rPr>
      <t xml:space="preserve">「銷貨收入」「銷貨成本」「銷貨折讓（外點抽成）」為通路損益表</t>
    </r>
    <r>
      <rPr>
        <i val="true"/>
        <sz val="8.5"/>
        <color rgb="FF475569"/>
        <rFont val="Arial"/>
        <family val="0"/>
        <charset val="1"/>
      </rPr>
      <t xml:space="preserve">8</t>
    </r>
    <r>
      <rPr>
        <i val="true"/>
        <sz val="8.5"/>
        <color rgb="FF475569"/>
        <rFont val="WenQuanYi Zen Hei"/>
        <family val="2"/>
      </rPr>
      <t xml:space="preserve">月彙總數，非逐筆交易，故以通路為單位列示。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</si>
</sst>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F172A"/>
      <name val="Arial"/>
      <family val="0"/>
      <charset val="1"/>
    </font>
    <font>
      <b val="true"/>
      <sz val="15"/>
      <color rgb="FF0F172A"/>
      <name val="WenQuanYi Zen Hei"/>
      <family val="2"/>
    </font>
    <font>
      <i val="true"/>
      <sz val="10"/>
      <color rgb="FF475569"/>
      <name val="Arial"/>
      <family val="0"/>
      <charset val="1"/>
    </font>
    <font>
      <i val="true"/>
      <sz val="10"/>
      <color rgb="FF475569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9"/>
      <color rgb="FFFFFFFF"/>
      <name val="Arial"/>
      <family val="0"/>
      <charset val="1"/>
    </font>
    <font>
      <b val="true"/>
      <sz val="11"/>
      <color rgb="FF0F172A"/>
      <name val="WenQuanYi Zen Hei"/>
      <family val="2"/>
    </font>
    <font>
      <sz val="10"/>
      <color rgb="FF0F172A"/>
      <name val="WenQuanYi Zen Hei"/>
      <family val="2"/>
    </font>
    <font>
      <sz val="10"/>
      <color rgb="FF0F172A"/>
      <name val="Arial"/>
      <family val="0"/>
      <charset val="1"/>
    </font>
    <font>
      <i val="true"/>
      <sz val="8.5"/>
      <color rgb="FF475569"/>
      <name val="WenQuanYi Zen Hei"/>
      <family val="2"/>
    </font>
    <font>
      <b val="true"/>
      <sz val="10"/>
      <color rgb="FF0F172A"/>
      <name val="WenQuanYi Zen Hei"/>
      <family val="2"/>
    </font>
    <font>
      <b val="true"/>
      <sz val="10"/>
      <color rgb="FF0F172A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i val="true"/>
      <sz val="8.5"/>
      <color rgb="FF475569"/>
      <name val="Arial"/>
      <family val="0"/>
      <charset val="1"/>
    </font>
    <font>
      <b val="true"/>
      <sz val="10.5"/>
      <color rgb="FF0F172A"/>
      <name val="WenQuanYi Zen Hei"/>
      <family val="2"/>
    </font>
    <font>
      <b val="true"/>
      <sz val="10.5"/>
      <color rgb="FF0F172A"/>
      <name val="Arial"/>
      <family val="0"/>
      <charset val="1"/>
    </font>
    <font>
      <sz val="9"/>
      <color rgb="FF475569"/>
      <name val="Arial"/>
      <family val="0"/>
      <charset val="1"/>
    </font>
    <font>
      <sz val="9"/>
      <color rgb="FF0F172A"/>
      <name val="WenQuanYi Zen Hei"/>
      <family val="2"/>
    </font>
    <font>
      <sz val="9"/>
      <color rgb="FF0F172A"/>
      <name val="Arial"/>
      <family val="0"/>
      <charset val="1"/>
    </font>
    <font>
      <sz val="9"/>
      <color rgb="FF475569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EEF2FF"/>
        <bgColor rgb="FFE2E8F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E2E8F0"/>
      </bottom>
      <diagonal/>
    </border>
    <border diagonalUp="false" diagonalDown="false">
      <left/>
      <right/>
      <top style="thin">
        <color rgb="FFCBD5E1"/>
      </top>
      <bottom/>
      <diagonal/>
    </border>
    <border diagonalUp="false" diagonalDown="false">
      <left/>
      <right/>
      <top style="medium">
        <color rgb="FF0F172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34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  <c r="D4" s="3" t="s">
        <v>5</v>
      </c>
    </row>
    <row r="5" customFormat="false" ht="15" hidden="false" customHeight="false" outlineLevel="0" collapsed="false">
      <c r="A5" s="6" t="s">
        <v>6</v>
      </c>
    </row>
    <row r="6" customFormat="false" ht="15" hidden="false" customHeight="false" outlineLevel="0" collapsed="false">
      <c r="A6" s="7" t="s">
        <v>7</v>
      </c>
      <c r="B6" s="8" t="n">
        <v>3215275</v>
      </c>
      <c r="C6" s="9"/>
      <c r="D6" s="10" t="s">
        <v>8</v>
      </c>
    </row>
    <row r="7" customFormat="false" ht="15" hidden="false" customHeight="false" outlineLevel="0" collapsed="false">
      <c r="A7" s="7" t="s">
        <v>9</v>
      </c>
      <c r="B7" s="8" t="n">
        <v>4728</v>
      </c>
      <c r="C7" s="9"/>
      <c r="D7" s="10" t="s">
        <v>10</v>
      </c>
    </row>
    <row r="8" customFormat="false" ht="15" hidden="false" customHeight="false" outlineLevel="0" collapsed="false">
      <c r="A8" s="7" t="s">
        <v>11</v>
      </c>
      <c r="B8" s="8" t="n">
        <v>0</v>
      </c>
      <c r="C8" s="9"/>
      <c r="D8" s="9"/>
    </row>
    <row r="9" customFormat="false" ht="15" hidden="false" customHeight="false" outlineLevel="0" collapsed="false">
      <c r="A9" s="7" t="s">
        <v>12</v>
      </c>
      <c r="B9" s="8" t="n">
        <v>0</v>
      </c>
      <c r="C9" s="9"/>
      <c r="D9" s="9"/>
    </row>
    <row r="10" customFormat="false" ht="15" hidden="false" customHeight="false" outlineLevel="0" collapsed="false">
      <c r="A10" s="7" t="s">
        <v>13</v>
      </c>
      <c r="B10" s="8" t="n">
        <v>-199678</v>
      </c>
      <c r="C10" s="9"/>
      <c r="D10" s="10" t="s">
        <v>14</v>
      </c>
    </row>
    <row r="11" customFormat="false" ht="15" hidden="false" customHeight="false" outlineLevel="0" collapsed="false">
      <c r="A11" s="7" t="s">
        <v>15</v>
      </c>
      <c r="B11" s="8" t="n">
        <v>-166612</v>
      </c>
      <c r="C11" s="9"/>
      <c r="D11" s="10" t="s">
        <v>8</v>
      </c>
    </row>
    <row r="12" customFormat="false" ht="15" hidden="false" customHeight="false" outlineLevel="0" collapsed="false">
      <c r="A12" s="11" t="s">
        <v>16</v>
      </c>
      <c r="B12" s="12" t="n">
        <f aca="false">SUM(B6:B11)</f>
        <v>2853713</v>
      </c>
      <c r="C12" s="13" t="n">
        <f aca="false">B12/$B$12</f>
        <v>1</v>
      </c>
    </row>
    <row r="14" customFormat="false" ht="15" hidden="false" customHeight="false" outlineLevel="0" collapsed="false">
      <c r="A14" s="6" t="s">
        <v>17</v>
      </c>
    </row>
    <row r="15" customFormat="false" ht="15" hidden="false" customHeight="false" outlineLevel="0" collapsed="false">
      <c r="A15" s="7" t="s">
        <v>18</v>
      </c>
      <c r="B15" s="8" t="n">
        <v>-512474</v>
      </c>
      <c r="C15" s="9"/>
      <c r="D15" s="10" t="s">
        <v>8</v>
      </c>
    </row>
    <row r="16" customFormat="false" ht="15" hidden="false" customHeight="false" outlineLevel="0" collapsed="false">
      <c r="A16" s="7" t="s">
        <v>19</v>
      </c>
      <c r="B16" s="8" t="n">
        <v>0</v>
      </c>
      <c r="C16" s="9"/>
      <c r="D16" s="9"/>
    </row>
    <row r="17" customFormat="false" ht="15" hidden="false" customHeight="false" outlineLevel="0" collapsed="false">
      <c r="A17" s="7" t="s">
        <v>20</v>
      </c>
      <c r="B17" s="8" t="n">
        <v>0</v>
      </c>
      <c r="C17" s="9"/>
      <c r="D17" s="9"/>
    </row>
    <row r="18" customFormat="false" ht="15" hidden="false" customHeight="false" outlineLevel="0" collapsed="false">
      <c r="A18" s="7" t="s">
        <v>21</v>
      </c>
      <c r="B18" s="8" t="n">
        <v>0</v>
      </c>
      <c r="C18" s="9"/>
      <c r="D18" s="9"/>
    </row>
    <row r="19" customFormat="false" ht="15" hidden="false" customHeight="false" outlineLevel="0" collapsed="false">
      <c r="A19" s="7" t="s">
        <v>22</v>
      </c>
      <c r="B19" s="8" t="n">
        <v>-309591</v>
      </c>
      <c r="C19" s="9"/>
      <c r="D19" s="10" t="s">
        <v>23</v>
      </c>
    </row>
    <row r="20" customFormat="false" ht="15" hidden="false" customHeight="false" outlineLevel="0" collapsed="false">
      <c r="A20" s="11" t="s">
        <v>24</v>
      </c>
      <c r="B20" s="12" t="n">
        <f aca="false">SUM(B15:B19)</f>
        <v>-822065</v>
      </c>
      <c r="C20" s="14" t="n">
        <f aca="false">B20/$B$12</f>
        <v>-0.288068561905139</v>
      </c>
    </row>
    <row r="22" customFormat="false" ht="15" hidden="false" customHeight="false" outlineLevel="0" collapsed="false">
      <c r="A22" s="15" t="s">
        <v>25</v>
      </c>
      <c r="B22" s="16" t="n">
        <f aca="false">B12+B20</f>
        <v>2031648</v>
      </c>
      <c r="C22" s="17" t="n">
        <f aca="false">B22/$B$12</f>
        <v>0.711931438094861</v>
      </c>
    </row>
    <row r="24" customFormat="false" ht="15" hidden="false" customHeight="false" outlineLevel="0" collapsed="false">
      <c r="A24" s="6" t="s">
        <v>26</v>
      </c>
    </row>
    <row r="25" customFormat="false" ht="15" hidden="false" customHeight="false" outlineLevel="0" collapsed="false">
      <c r="A25" s="7" t="s">
        <v>27</v>
      </c>
      <c r="B25" s="8" t="n">
        <v>-408824</v>
      </c>
      <c r="C25" s="9"/>
      <c r="D25" s="10" t="s">
        <v>28</v>
      </c>
    </row>
    <row r="26" customFormat="false" ht="15" hidden="false" customHeight="false" outlineLevel="0" collapsed="false">
      <c r="A26" s="7" t="s">
        <v>29</v>
      </c>
      <c r="B26" s="8" t="n">
        <v>-104668</v>
      </c>
      <c r="C26" s="9"/>
      <c r="D26" s="10" t="s">
        <v>30</v>
      </c>
    </row>
    <row r="27" customFormat="false" ht="15" hidden="false" customHeight="false" outlineLevel="0" collapsed="false">
      <c r="A27" s="7" t="s">
        <v>31</v>
      </c>
      <c r="B27" s="8" t="n">
        <v>0</v>
      </c>
      <c r="C27" s="9"/>
      <c r="D27" s="9"/>
    </row>
    <row r="28" customFormat="false" ht="15" hidden="false" customHeight="false" outlineLevel="0" collapsed="false">
      <c r="A28" s="7" t="s">
        <v>32</v>
      </c>
      <c r="B28" s="8" t="n">
        <v>-365673</v>
      </c>
      <c r="C28" s="9"/>
      <c r="D28" s="10" t="s">
        <v>33</v>
      </c>
    </row>
    <row r="29" customFormat="false" ht="15" hidden="false" customHeight="false" outlineLevel="0" collapsed="false">
      <c r="A29" s="7" t="s">
        <v>34</v>
      </c>
      <c r="B29" s="8" t="n">
        <v>-7000</v>
      </c>
      <c r="C29" s="9"/>
      <c r="D29" s="10" t="s">
        <v>35</v>
      </c>
    </row>
    <row r="30" customFormat="false" ht="15" hidden="false" customHeight="false" outlineLevel="0" collapsed="false">
      <c r="A30" s="7" t="s">
        <v>36</v>
      </c>
      <c r="B30" s="8" t="n">
        <v>-51330</v>
      </c>
      <c r="C30" s="9"/>
      <c r="D30" s="10" t="s">
        <v>37</v>
      </c>
    </row>
    <row r="31" customFormat="false" ht="15" hidden="false" customHeight="false" outlineLevel="0" collapsed="false">
      <c r="A31" s="7" t="s">
        <v>38</v>
      </c>
      <c r="B31" s="8" t="n">
        <v>-46010</v>
      </c>
      <c r="C31" s="9"/>
      <c r="D31" s="10" t="s">
        <v>39</v>
      </c>
    </row>
    <row r="32" customFormat="false" ht="15" hidden="false" customHeight="false" outlineLevel="0" collapsed="false">
      <c r="A32" s="7" t="s">
        <v>40</v>
      </c>
      <c r="B32" s="8" t="n">
        <v>-4097</v>
      </c>
      <c r="C32" s="9"/>
      <c r="D32" s="10" t="s">
        <v>41</v>
      </c>
    </row>
    <row r="33" customFormat="false" ht="15" hidden="false" customHeight="false" outlineLevel="0" collapsed="false">
      <c r="A33" s="7" t="s">
        <v>42</v>
      </c>
      <c r="B33" s="8" t="n">
        <v>0</v>
      </c>
      <c r="C33" s="9"/>
      <c r="D33" s="9"/>
    </row>
    <row r="34" customFormat="false" ht="15" hidden="false" customHeight="false" outlineLevel="0" collapsed="false">
      <c r="A34" s="7" t="s">
        <v>43</v>
      </c>
      <c r="B34" s="8" t="n">
        <v>-201313</v>
      </c>
      <c r="C34" s="9"/>
      <c r="D34" s="10" t="s">
        <v>44</v>
      </c>
    </row>
    <row r="35" customFormat="false" ht="15" hidden="false" customHeight="false" outlineLevel="0" collapsed="false">
      <c r="A35" s="7" t="s">
        <v>45</v>
      </c>
      <c r="B35" s="8" t="n">
        <v>-1120</v>
      </c>
      <c r="C35" s="9"/>
      <c r="D35" s="10" t="s">
        <v>46</v>
      </c>
    </row>
    <row r="36" customFormat="false" ht="15" hidden="false" customHeight="false" outlineLevel="0" collapsed="false">
      <c r="A36" s="7" t="s">
        <v>47</v>
      </c>
      <c r="B36" s="8" t="n">
        <v>-31766</v>
      </c>
      <c r="C36" s="9"/>
      <c r="D36" s="10" t="s">
        <v>48</v>
      </c>
    </row>
    <row r="37" customFormat="false" ht="15" hidden="false" customHeight="false" outlineLevel="0" collapsed="false">
      <c r="A37" s="7" t="s">
        <v>49</v>
      </c>
      <c r="B37" s="8" t="n">
        <v>-39232</v>
      </c>
      <c r="C37" s="9"/>
      <c r="D37" s="10" t="s">
        <v>50</v>
      </c>
    </row>
    <row r="38" customFormat="false" ht="15" hidden="false" customHeight="false" outlineLevel="0" collapsed="false">
      <c r="A38" s="7" t="s">
        <v>51</v>
      </c>
      <c r="B38" s="8" t="n">
        <v>0</v>
      </c>
      <c r="C38" s="9"/>
      <c r="D38" s="9"/>
    </row>
    <row r="39" customFormat="false" ht="15" hidden="false" customHeight="false" outlineLevel="0" collapsed="false">
      <c r="A39" s="7" t="s">
        <v>52</v>
      </c>
      <c r="B39" s="8" t="n">
        <v>0</v>
      </c>
      <c r="C39" s="9"/>
      <c r="D39" s="9"/>
    </row>
    <row r="40" customFormat="false" ht="15" hidden="false" customHeight="false" outlineLevel="0" collapsed="false">
      <c r="A40" s="7" t="s">
        <v>53</v>
      </c>
      <c r="B40" s="8" t="n">
        <v>0</v>
      </c>
      <c r="C40" s="9"/>
      <c r="D40" s="9"/>
    </row>
    <row r="41" customFormat="false" ht="15" hidden="false" customHeight="false" outlineLevel="0" collapsed="false">
      <c r="A41" s="7" t="s">
        <v>54</v>
      </c>
      <c r="B41" s="8" t="n">
        <v>0</v>
      </c>
      <c r="C41" s="9"/>
      <c r="D41" s="9"/>
    </row>
    <row r="42" customFormat="false" ht="15" hidden="false" customHeight="false" outlineLevel="0" collapsed="false">
      <c r="A42" s="7" t="s">
        <v>55</v>
      </c>
      <c r="B42" s="8" t="n">
        <v>0</v>
      </c>
      <c r="C42" s="9"/>
      <c r="D42" s="9"/>
    </row>
    <row r="43" customFormat="false" ht="15" hidden="false" customHeight="false" outlineLevel="0" collapsed="false">
      <c r="A43" s="7" t="s">
        <v>56</v>
      </c>
      <c r="B43" s="8" t="n">
        <v>-3400</v>
      </c>
      <c r="C43" s="9"/>
      <c r="D43" s="10" t="s">
        <v>35</v>
      </c>
    </row>
    <row r="44" customFormat="false" ht="15" hidden="false" customHeight="false" outlineLevel="0" collapsed="false">
      <c r="A44" s="7" t="s">
        <v>57</v>
      </c>
      <c r="B44" s="8" t="n">
        <v>0</v>
      </c>
      <c r="C44" s="9"/>
      <c r="D44" s="9"/>
    </row>
    <row r="45" customFormat="false" ht="15" hidden="false" customHeight="false" outlineLevel="0" collapsed="false">
      <c r="A45" s="7" t="s">
        <v>58</v>
      </c>
      <c r="B45" s="8" t="n">
        <v>-18648</v>
      </c>
      <c r="C45" s="9"/>
      <c r="D45" s="10" t="s">
        <v>59</v>
      </c>
    </row>
    <row r="46" customFormat="false" ht="15" hidden="false" customHeight="false" outlineLevel="0" collapsed="false">
      <c r="A46" s="7" t="s">
        <v>60</v>
      </c>
      <c r="B46" s="8" t="n">
        <v>-289838</v>
      </c>
      <c r="C46" s="9"/>
      <c r="D46" s="10" t="s">
        <v>61</v>
      </c>
    </row>
    <row r="47" customFormat="false" ht="15" hidden="false" customHeight="false" outlineLevel="0" collapsed="false">
      <c r="A47" s="7" t="s">
        <v>62</v>
      </c>
      <c r="B47" s="8" t="n">
        <v>0</v>
      </c>
      <c r="C47" s="9"/>
      <c r="D47" s="9"/>
    </row>
    <row r="48" customFormat="false" ht="15" hidden="false" customHeight="false" outlineLevel="0" collapsed="false">
      <c r="A48" s="7" t="s">
        <v>63</v>
      </c>
      <c r="B48" s="8" t="n">
        <v>-1870</v>
      </c>
      <c r="C48" s="9"/>
      <c r="D48" s="10" t="s">
        <v>64</v>
      </c>
    </row>
    <row r="49" customFormat="false" ht="15" hidden="false" customHeight="false" outlineLevel="0" collapsed="false">
      <c r="A49" s="7" t="s">
        <v>65</v>
      </c>
      <c r="B49" s="8" t="n">
        <v>-4240</v>
      </c>
      <c r="C49" s="9"/>
      <c r="D49" s="10" t="s">
        <v>66</v>
      </c>
    </row>
    <row r="50" customFormat="false" ht="15" hidden="false" customHeight="false" outlineLevel="0" collapsed="false">
      <c r="A50" s="7" t="s">
        <v>67</v>
      </c>
      <c r="B50" s="8" t="n">
        <v>-8972</v>
      </c>
      <c r="C50" s="9"/>
      <c r="D50" s="10" t="s">
        <v>68</v>
      </c>
    </row>
    <row r="51" customFormat="false" ht="15" hidden="false" customHeight="false" outlineLevel="0" collapsed="false">
      <c r="A51" s="7" t="s">
        <v>69</v>
      </c>
      <c r="B51" s="8" t="n">
        <v>0</v>
      </c>
      <c r="C51" s="9"/>
      <c r="D51" s="9"/>
    </row>
    <row r="52" customFormat="false" ht="15" hidden="false" customHeight="false" outlineLevel="0" collapsed="false">
      <c r="A52" s="7" t="s">
        <v>70</v>
      </c>
      <c r="B52" s="8" t="n">
        <v>0</v>
      </c>
      <c r="C52" s="9"/>
      <c r="D52" s="9"/>
    </row>
    <row r="53" customFormat="false" ht="15" hidden="false" customHeight="false" outlineLevel="0" collapsed="false">
      <c r="A53" s="7" t="s">
        <v>71</v>
      </c>
      <c r="B53" s="8" t="n">
        <v>0</v>
      </c>
      <c r="C53" s="9"/>
      <c r="D53" s="9"/>
    </row>
    <row r="54" customFormat="false" ht="15" hidden="false" customHeight="false" outlineLevel="0" collapsed="false">
      <c r="A54" s="7" t="s">
        <v>72</v>
      </c>
      <c r="B54" s="8" t="n">
        <v>-8577</v>
      </c>
      <c r="C54" s="9"/>
      <c r="D54" s="10" t="s">
        <v>41</v>
      </c>
    </row>
    <row r="55" customFormat="false" ht="15" hidden="false" customHeight="false" outlineLevel="0" collapsed="false">
      <c r="A55" s="7" t="s">
        <v>73</v>
      </c>
      <c r="B55" s="8" t="n">
        <v>-5738</v>
      </c>
      <c r="C55" s="9"/>
      <c r="D55" s="10" t="s">
        <v>74</v>
      </c>
    </row>
    <row r="56" customFormat="false" ht="15" hidden="false" customHeight="false" outlineLevel="0" collapsed="false">
      <c r="A56" s="7" t="s">
        <v>75</v>
      </c>
      <c r="B56" s="8" t="n">
        <v>-17410</v>
      </c>
      <c r="C56" s="9"/>
      <c r="D56" s="10" t="s">
        <v>50</v>
      </c>
    </row>
    <row r="57" customFormat="false" ht="15" hidden="false" customHeight="false" outlineLevel="0" collapsed="false">
      <c r="A57" s="11" t="s">
        <v>76</v>
      </c>
      <c r="B57" s="12" t="n">
        <f aca="false">SUM(B25:B56)</f>
        <v>-1619726</v>
      </c>
      <c r="C57" s="14" t="n">
        <f aca="false">B57/$B$12</f>
        <v>-0.567585457963012</v>
      </c>
    </row>
    <row r="59" customFormat="false" ht="15" hidden="false" customHeight="false" outlineLevel="0" collapsed="false">
      <c r="A59" s="15" t="s">
        <v>77</v>
      </c>
      <c r="B59" s="16" t="n">
        <f aca="false">B22+B57</f>
        <v>411922</v>
      </c>
      <c r="C59" s="18" t="n">
        <f aca="false">B59/$B$12</f>
        <v>0.144345980131849</v>
      </c>
    </row>
    <row r="61" customFormat="false" ht="15" hidden="false" customHeight="false" outlineLevel="0" collapsed="false">
      <c r="A61" s="6" t="s">
        <v>78</v>
      </c>
    </row>
    <row r="62" customFormat="false" ht="15" hidden="false" customHeight="false" outlineLevel="0" collapsed="false">
      <c r="A62" s="7" t="s">
        <v>79</v>
      </c>
      <c r="B62" s="8" t="n">
        <v>0</v>
      </c>
      <c r="C62" s="9"/>
      <c r="D62" s="9"/>
    </row>
    <row r="63" customFormat="false" ht="15" hidden="false" customHeight="false" outlineLevel="0" collapsed="false">
      <c r="A63" s="7" t="s">
        <v>80</v>
      </c>
      <c r="B63" s="8" t="n">
        <v>0</v>
      </c>
      <c r="C63" s="9"/>
      <c r="D63" s="9"/>
    </row>
    <row r="64" customFormat="false" ht="15" hidden="false" customHeight="false" outlineLevel="0" collapsed="false">
      <c r="A64" s="7" t="s">
        <v>81</v>
      </c>
      <c r="B64" s="8" t="n">
        <v>-723</v>
      </c>
      <c r="C64" s="9"/>
      <c r="D64" s="10" t="s">
        <v>82</v>
      </c>
    </row>
    <row r="65" customFormat="false" ht="15" hidden="false" customHeight="false" outlineLevel="0" collapsed="false">
      <c r="A65" s="7" t="s">
        <v>83</v>
      </c>
      <c r="B65" s="8" t="n">
        <v>0</v>
      </c>
      <c r="C65" s="9"/>
      <c r="D65" s="9"/>
    </row>
    <row r="66" customFormat="false" ht="15" hidden="false" customHeight="false" outlineLevel="0" collapsed="false">
      <c r="A66" s="11" t="s">
        <v>84</v>
      </c>
      <c r="B66" s="12" t="n">
        <f aca="false">SUM(B62:B65)</f>
        <v>-723</v>
      </c>
      <c r="C66" s="14" t="n">
        <f aca="false">B66/$B$12</f>
        <v>-0.000253354138976134</v>
      </c>
    </row>
    <row r="68" customFormat="false" ht="15" hidden="false" customHeight="false" outlineLevel="0" collapsed="false">
      <c r="A68" s="15" t="s">
        <v>85</v>
      </c>
      <c r="B68" s="16" t="n">
        <f aca="false">B59+B66</f>
        <v>411199</v>
      </c>
      <c r="C68" s="18" t="n">
        <f aca="false">B68/$B$12</f>
        <v>0.144092625992873</v>
      </c>
    </row>
    <row r="70" customFormat="false" ht="15" hidden="false" customHeight="false" outlineLevel="0" collapsed="false">
      <c r="A70" s="6" t="s">
        <v>86</v>
      </c>
    </row>
    <row r="71" customFormat="false" ht="15" hidden="false" customHeight="false" outlineLevel="0" collapsed="false">
      <c r="A71" s="7" t="s">
        <v>87</v>
      </c>
      <c r="B71" s="8" t="n">
        <v>0</v>
      </c>
      <c r="C71" s="9"/>
      <c r="D71" s="9"/>
    </row>
    <row r="73" customFormat="false" ht="15" hidden="false" customHeight="false" outlineLevel="0" collapsed="false">
      <c r="A73" s="15" t="s">
        <v>88</v>
      </c>
      <c r="B73" s="16" t="n">
        <f aca="false">B68-B71</f>
        <v>411199</v>
      </c>
      <c r="C73" s="18" t="n">
        <f aca="false">B73/$B$12</f>
        <v>0.144092625992873</v>
      </c>
    </row>
    <row r="76" customFormat="false" ht="15" hidden="false" customHeight="false" outlineLevel="0" collapsed="false">
      <c r="A76" s="19" t="s">
        <v>89</v>
      </c>
    </row>
    <row r="77" customFormat="false" ht="15" hidden="false" customHeight="false" outlineLevel="0" collapsed="false">
      <c r="A77" s="20" t="s">
        <v>90</v>
      </c>
      <c r="B77" s="20"/>
      <c r="C77" s="20"/>
      <c r="D77" s="20"/>
    </row>
    <row r="78" customFormat="false" ht="15" hidden="false" customHeight="false" outlineLevel="0" collapsed="false">
      <c r="A78" s="20" t="s">
        <v>91</v>
      </c>
      <c r="B78" s="20"/>
      <c r="C78" s="20"/>
      <c r="D78" s="20"/>
    </row>
    <row r="79" customFormat="false" ht="11.9" hidden="false" customHeight="false" outlineLevel="0" collapsed="false">
      <c r="A79" s="20" t="s">
        <v>92</v>
      </c>
      <c r="B79" s="20"/>
      <c r="C79" s="20"/>
      <c r="D79" s="20"/>
    </row>
    <row r="80" customFormat="false" ht="11.9" hidden="false" customHeight="false" outlineLevel="0" collapsed="false">
      <c r="A80" s="20" t="s">
        <v>93</v>
      </c>
      <c r="B80" s="20"/>
      <c r="C80" s="20"/>
      <c r="D80" s="20"/>
    </row>
    <row r="81" customFormat="false" ht="15" hidden="false" customHeight="false" outlineLevel="0" collapsed="false">
      <c r="A81" s="20" t="s">
        <v>94</v>
      </c>
      <c r="B81" s="20"/>
      <c r="C81" s="20"/>
      <c r="D81" s="20"/>
    </row>
  </sheetData>
  <mergeCells count="5">
    <mergeCell ref="A77:D77"/>
    <mergeCell ref="A78:D78"/>
    <mergeCell ref="A79:D79"/>
    <mergeCell ref="A80:D80"/>
    <mergeCell ref="A81:D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20.1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3" t="s">
        <v>97</v>
      </c>
      <c r="B4" s="3" t="s">
        <v>98</v>
      </c>
      <c r="C4" s="3" t="s">
        <v>99</v>
      </c>
      <c r="D4" s="4" t="s">
        <v>3</v>
      </c>
      <c r="E4" s="3" t="s">
        <v>100</v>
      </c>
    </row>
    <row r="5" customFormat="false" ht="15" hidden="false" customHeight="false" outlineLevel="0" collapsed="false">
      <c r="A5" s="21" t="s">
        <v>101</v>
      </c>
      <c r="B5" s="22"/>
      <c r="C5" s="22"/>
      <c r="D5" s="23" t="n">
        <f aca="false">SUM(D6:D14)</f>
        <v>3215275</v>
      </c>
      <c r="E5" s="22"/>
    </row>
    <row r="6" customFormat="false" ht="15" hidden="false" customHeight="false" outlineLevel="0" collapsed="false">
      <c r="A6" s="9"/>
      <c r="B6" s="24" t="s">
        <v>102</v>
      </c>
      <c r="C6" s="25" t="s">
        <v>103</v>
      </c>
      <c r="D6" s="26" t="n">
        <v>1047095</v>
      </c>
      <c r="E6" s="10" t="s">
        <v>104</v>
      </c>
    </row>
    <row r="7" customFormat="false" ht="15" hidden="false" customHeight="false" outlineLevel="0" collapsed="false">
      <c r="A7" s="9"/>
      <c r="B7" s="24" t="s">
        <v>102</v>
      </c>
      <c r="C7" s="25" t="s">
        <v>105</v>
      </c>
      <c r="D7" s="26" t="n">
        <v>783641</v>
      </c>
      <c r="E7" s="10" t="s">
        <v>104</v>
      </c>
    </row>
    <row r="8" customFormat="false" ht="15" hidden="false" customHeight="false" outlineLevel="0" collapsed="false">
      <c r="A8" s="9"/>
      <c r="B8" s="24" t="s">
        <v>102</v>
      </c>
      <c r="C8" s="25" t="s">
        <v>106</v>
      </c>
      <c r="D8" s="26" t="n">
        <v>206551</v>
      </c>
      <c r="E8" s="10" t="s">
        <v>104</v>
      </c>
    </row>
    <row r="9" customFormat="false" ht="15" hidden="false" customHeight="false" outlineLevel="0" collapsed="false">
      <c r="A9" s="9"/>
      <c r="B9" s="24" t="s">
        <v>102</v>
      </c>
      <c r="C9" s="25" t="s">
        <v>107</v>
      </c>
      <c r="D9" s="26" t="n">
        <v>423003</v>
      </c>
      <c r="E9" s="10" t="s">
        <v>104</v>
      </c>
    </row>
    <row r="10" customFormat="false" ht="15" hidden="false" customHeight="false" outlineLevel="0" collapsed="false">
      <c r="A10" s="9"/>
      <c r="B10" s="24" t="s">
        <v>102</v>
      </c>
      <c r="C10" s="27" t="s">
        <v>108</v>
      </c>
      <c r="D10" s="26" t="n">
        <v>314968</v>
      </c>
      <c r="E10" s="10" t="s">
        <v>104</v>
      </c>
    </row>
    <row r="11" customFormat="false" ht="15" hidden="false" customHeight="false" outlineLevel="0" collapsed="false">
      <c r="A11" s="9"/>
      <c r="B11" s="24" t="s">
        <v>102</v>
      </c>
      <c r="C11" s="25" t="s">
        <v>109</v>
      </c>
      <c r="D11" s="26" t="n">
        <v>47753</v>
      </c>
      <c r="E11" s="10" t="s">
        <v>104</v>
      </c>
    </row>
    <row r="12" customFormat="false" ht="15" hidden="false" customHeight="false" outlineLevel="0" collapsed="false">
      <c r="A12" s="9"/>
      <c r="B12" s="24" t="s">
        <v>102</v>
      </c>
      <c r="C12" s="25" t="s">
        <v>110</v>
      </c>
      <c r="D12" s="26" t="n">
        <v>53064</v>
      </c>
      <c r="E12" s="10" t="s">
        <v>104</v>
      </c>
    </row>
    <row r="13" customFormat="false" ht="15" hidden="false" customHeight="false" outlineLevel="0" collapsed="false">
      <c r="A13" s="9"/>
      <c r="B13" s="24" t="s">
        <v>102</v>
      </c>
      <c r="C13" s="25" t="s">
        <v>111</v>
      </c>
      <c r="D13" s="26" t="n">
        <v>22780</v>
      </c>
      <c r="E13" s="10" t="s">
        <v>104</v>
      </c>
    </row>
    <row r="14" customFormat="false" ht="15" hidden="false" customHeight="false" outlineLevel="0" collapsed="false">
      <c r="A14" s="9"/>
      <c r="B14" s="24" t="s">
        <v>102</v>
      </c>
      <c r="C14" s="25" t="s">
        <v>112</v>
      </c>
      <c r="D14" s="26" t="n">
        <v>316420</v>
      </c>
      <c r="E14" s="10" t="s">
        <v>104</v>
      </c>
    </row>
    <row r="16" customFormat="false" ht="15" hidden="false" customHeight="false" outlineLevel="0" collapsed="false">
      <c r="A16" s="21" t="s">
        <v>6</v>
      </c>
      <c r="B16" s="22"/>
      <c r="C16" s="22"/>
      <c r="D16" s="23" t="n">
        <f aca="false">SUM(D17:D26)</f>
        <v>4728</v>
      </c>
      <c r="E16" s="22"/>
    </row>
    <row r="17" customFormat="false" ht="15" hidden="false" customHeight="false" outlineLevel="0" collapsed="false">
      <c r="A17" s="9"/>
      <c r="B17" s="24" t="s">
        <v>113</v>
      </c>
      <c r="C17" s="25" t="s">
        <v>114</v>
      </c>
      <c r="D17" s="26" t="n">
        <v>30</v>
      </c>
      <c r="E17" s="10" t="s">
        <v>115</v>
      </c>
    </row>
    <row r="18" customFormat="false" ht="15" hidden="false" customHeight="false" outlineLevel="0" collapsed="false">
      <c r="A18" s="9"/>
      <c r="B18" s="24" t="s">
        <v>116</v>
      </c>
      <c r="C18" s="25" t="s">
        <v>117</v>
      </c>
      <c r="D18" s="26" t="n">
        <v>510</v>
      </c>
      <c r="E18" s="10" t="s">
        <v>115</v>
      </c>
    </row>
    <row r="19" customFormat="false" ht="15" hidden="false" customHeight="false" outlineLevel="0" collapsed="false">
      <c r="A19" s="9"/>
      <c r="B19" s="24" t="s">
        <v>116</v>
      </c>
      <c r="C19" s="25" t="s">
        <v>118</v>
      </c>
      <c r="D19" s="26" t="n">
        <v>270</v>
      </c>
      <c r="E19" s="10" t="s">
        <v>115</v>
      </c>
    </row>
    <row r="20" customFormat="false" ht="15" hidden="false" customHeight="false" outlineLevel="0" collapsed="false">
      <c r="A20" s="9"/>
      <c r="B20" s="24" t="s">
        <v>116</v>
      </c>
      <c r="C20" s="25" t="s">
        <v>119</v>
      </c>
      <c r="D20" s="26" t="n">
        <v>270</v>
      </c>
      <c r="E20" s="10" t="s">
        <v>115</v>
      </c>
    </row>
    <row r="21" customFormat="false" ht="15" hidden="false" customHeight="false" outlineLevel="0" collapsed="false">
      <c r="A21" s="9"/>
      <c r="B21" s="24" t="s">
        <v>116</v>
      </c>
      <c r="C21" s="25" t="s">
        <v>120</v>
      </c>
      <c r="D21" s="26" t="n">
        <v>360</v>
      </c>
      <c r="E21" s="10" t="s">
        <v>121</v>
      </c>
    </row>
    <row r="22" customFormat="false" ht="15" hidden="false" customHeight="false" outlineLevel="0" collapsed="false">
      <c r="A22" s="9"/>
      <c r="B22" s="24" t="s">
        <v>116</v>
      </c>
      <c r="C22" s="25" t="s">
        <v>122</v>
      </c>
      <c r="D22" s="26" t="n">
        <v>136</v>
      </c>
      <c r="E22" s="10" t="s">
        <v>121</v>
      </c>
    </row>
    <row r="23" customFormat="false" ht="15" hidden="false" customHeight="false" outlineLevel="0" collapsed="false">
      <c r="A23" s="9"/>
      <c r="B23" s="24" t="s">
        <v>116</v>
      </c>
      <c r="C23" s="25" t="s">
        <v>123</v>
      </c>
      <c r="D23" s="26" t="n">
        <v>136</v>
      </c>
      <c r="E23" s="10" t="s">
        <v>121</v>
      </c>
    </row>
    <row r="24" customFormat="false" ht="15" hidden="false" customHeight="false" outlineLevel="0" collapsed="false">
      <c r="A24" s="9"/>
      <c r="B24" s="24" t="s">
        <v>116</v>
      </c>
      <c r="C24" s="25" t="s">
        <v>124</v>
      </c>
      <c r="D24" s="26" t="n">
        <v>136</v>
      </c>
      <c r="E24" s="10" t="s">
        <v>121</v>
      </c>
    </row>
    <row r="25" customFormat="false" ht="15" hidden="false" customHeight="false" outlineLevel="0" collapsed="false">
      <c r="A25" s="9"/>
      <c r="B25" s="24" t="s">
        <v>116</v>
      </c>
      <c r="C25" s="25" t="s">
        <v>125</v>
      </c>
      <c r="D25" s="26" t="n">
        <v>120</v>
      </c>
      <c r="E25" s="10" t="s">
        <v>121</v>
      </c>
    </row>
    <row r="26" customFormat="false" ht="15" hidden="false" customHeight="false" outlineLevel="0" collapsed="false">
      <c r="A26" s="9"/>
      <c r="B26" s="24" t="s">
        <v>126</v>
      </c>
      <c r="C26" s="25" t="s">
        <v>127</v>
      </c>
      <c r="D26" s="26" t="n">
        <v>2760</v>
      </c>
      <c r="E26" s="10" t="s">
        <v>128</v>
      </c>
    </row>
    <row r="28" customFormat="false" ht="15" hidden="false" customHeight="false" outlineLevel="0" collapsed="false">
      <c r="A28" s="21" t="s">
        <v>129</v>
      </c>
      <c r="B28" s="22"/>
      <c r="C28" s="22"/>
      <c r="D28" s="23" t="n">
        <f aca="false">SUM(D29:D35)</f>
        <v>-366290</v>
      </c>
      <c r="E28" s="22"/>
    </row>
    <row r="29" customFormat="false" ht="15" hidden="false" customHeight="false" outlineLevel="0" collapsed="false">
      <c r="A29" s="9"/>
      <c r="B29" s="24" t="s">
        <v>130</v>
      </c>
      <c r="C29" s="25" t="s">
        <v>131</v>
      </c>
      <c r="D29" s="26" t="n">
        <v>-106956</v>
      </c>
      <c r="E29" s="10" t="s">
        <v>132</v>
      </c>
    </row>
    <row r="30" customFormat="false" ht="15" hidden="false" customHeight="false" outlineLevel="0" collapsed="false">
      <c r="A30" s="9"/>
      <c r="B30" s="24" t="s">
        <v>130</v>
      </c>
      <c r="C30" s="25" t="s">
        <v>133</v>
      </c>
      <c r="D30" s="26" t="n">
        <v>-52942</v>
      </c>
      <c r="E30" s="10" t="s">
        <v>132</v>
      </c>
    </row>
    <row r="31" customFormat="false" ht="15" hidden="false" customHeight="false" outlineLevel="0" collapsed="false">
      <c r="A31" s="9"/>
      <c r="B31" s="24" t="s">
        <v>130</v>
      </c>
      <c r="C31" s="25" t="s">
        <v>134</v>
      </c>
      <c r="D31" s="26" t="n">
        <v>-39780</v>
      </c>
      <c r="E31" s="10" t="s">
        <v>132</v>
      </c>
    </row>
    <row r="32" customFormat="false" ht="15" hidden="false" customHeight="false" outlineLevel="0" collapsed="false">
      <c r="A32" s="9"/>
      <c r="B32" s="24" t="s">
        <v>130</v>
      </c>
      <c r="C32" s="25" t="s">
        <v>135</v>
      </c>
      <c r="D32" s="26" t="n">
        <v>-15092</v>
      </c>
      <c r="E32" s="10" t="s">
        <v>104</v>
      </c>
    </row>
    <row r="33" customFormat="false" ht="15" hidden="false" customHeight="false" outlineLevel="0" collapsed="false">
      <c r="A33" s="9"/>
      <c r="B33" s="24" t="s">
        <v>130</v>
      </c>
      <c r="C33" s="25" t="s">
        <v>136</v>
      </c>
      <c r="D33" s="26" t="n">
        <v>-17238</v>
      </c>
      <c r="E33" s="10" t="s">
        <v>104</v>
      </c>
    </row>
    <row r="34" customFormat="false" ht="15" hidden="false" customHeight="false" outlineLevel="0" collapsed="false">
      <c r="A34" s="9"/>
      <c r="B34" s="24" t="s">
        <v>130</v>
      </c>
      <c r="C34" s="25" t="s">
        <v>137</v>
      </c>
      <c r="D34" s="26" t="n">
        <v>-7714</v>
      </c>
      <c r="E34" s="10" t="s">
        <v>104</v>
      </c>
    </row>
    <row r="35" customFormat="false" ht="15" hidden="false" customHeight="false" outlineLevel="0" collapsed="false">
      <c r="A35" s="9"/>
      <c r="B35" s="24" t="s">
        <v>130</v>
      </c>
      <c r="C35" s="25" t="s">
        <v>138</v>
      </c>
      <c r="D35" s="26" t="n">
        <v>-126568</v>
      </c>
      <c r="E35" s="10" t="s">
        <v>104</v>
      </c>
    </row>
    <row r="37" customFormat="false" ht="15" hidden="false" customHeight="false" outlineLevel="0" collapsed="false">
      <c r="A37" s="21" t="s">
        <v>139</v>
      </c>
      <c r="B37" s="22"/>
      <c r="C37" s="22"/>
      <c r="D37" s="23" t="n">
        <f aca="false">SUM(D38:D46)</f>
        <v>-512474</v>
      </c>
      <c r="E37" s="22"/>
    </row>
    <row r="38" customFormat="false" ht="15" hidden="false" customHeight="false" outlineLevel="0" collapsed="false">
      <c r="A38" s="9"/>
      <c r="B38" s="24" t="s">
        <v>102</v>
      </c>
      <c r="C38" s="25" t="s">
        <v>103</v>
      </c>
      <c r="D38" s="26" t="n">
        <v>-206426</v>
      </c>
      <c r="E38" s="10" t="s">
        <v>104</v>
      </c>
    </row>
    <row r="39" customFormat="false" ht="15" hidden="false" customHeight="false" outlineLevel="0" collapsed="false">
      <c r="A39" s="9"/>
      <c r="B39" s="24" t="s">
        <v>102</v>
      </c>
      <c r="C39" s="25" t="s">
        <v>105</v>
      </c>
      <c r="D39" s="26" t="n">
        <v>-110719</v>
      </c>
      <c r="E39" s="10" t="s">
        <v>104</v>
      </c>
    </row>
    <row r="40" customFormat="false" ht="15" hidden="false" customHeight="false" outlineLevel="0" collapsed="false">
      <c r="A40" s="9"/>
      <c r="B40" s="24" t="s">
        <v>102</v>
      </c>
      <c r="C40" s="25" t="s">
        <v>106</v>
      </c>
      <c r="D40" s="26" t="n">
        <v>-27523</v>
      </c>
      <c r="E40" s="10" t="s">
        <v>104</v>
      </c>
    </row>
    <row r="41" customFormat="false" ht="15" hidden="false" customHeight="false" outlineLevel="0" collapsed="false">
      <c r="A41" s="9"/>
      <c r="B41" s="24" t="s">
        <v>102</v>
      </c>
      <c r="C41" s="25" t="s">
        <v>107</v>
      </c>
      <c r="D41" s="26" t="n">
        <v>-61834</v>
      </c>
      <c r="E41" s="10" t="s">
        <v>104</v>
      </c>
    </row>
    <row r="42" customFormat="false" ht="15" hidden="false" customHeight="false" outlineLevel="0" collapsed="false">
      <c r="A42" s="9"/>
      <c r="B42" s="24" t="s">
        <v>102</v>
      </c>
      <c r="C42" s="27" t="s">
        <v>140</v>
      </c>
      <c r="D42" s="26" t="n">
        <v>-48061</v>
      </c>
      <c r="E42" s="10" t="s">
        <v>104</v>
      </c>
    </row>
    <row r="43" customFormat="false" ht="15" hidden="false" customHeight="false" outlineLevel="0" collapsed="false">
      <c r="A43" s="9"/>
      <c r="B43" s="24" t="s">
        <v>102</v>
      </c>
      <c r="C43" s="25" t="s">
        <v>109</v>
      </c>
      <c r="D43" s="26" t="n">
        <v>-6813</v>
      </c>
      <c r="E43" s="10" t="s">
        <v>104</v>
      </c>
    </row>
    <row r="44" customFormat="false" ht="15" hidden="false" customHeight="false" outlineLevel="0" collapsed="false">
      <c r="A44" s="9"/>
      <c r="B44" s="24" t="s">
        <v>102</v>
      </c>
      <c r="C44" s="25" t="s">
        <v>110</v>
      </c>
      <c r="D44" s="26" t="n">
        <v>-6683</v>
      </c>
      <c r="E44" s="10" t="s">
        <v>104</v>
      </c>
    </row>
    <row r="45" customFormat="false" ht="15" hidden="false" customHeight="false" outlineLevel="0" collapsed="false">
      <c r="A45" s="9"/>
      <c r="B45" s="24" t="s">
        <v>102</v>
      </c>
      <c r="C45" s="25" t="s">
        <v>111</v>
      </c>
      <c r="D45" s="26" t="n">
        <v>-3266</v>
      </c>
      <c r="E45" s="10" t="s">
        <v>104</v>
      </c>
    </row>
    <row r="46" customFormat="false" ht="15" hidden="false" customHeight="false" outlineLevel="0" collapsed="false">
      <c r="A46" s="9"/>
      <c r="B46" s="24" t="s">
        <v>102</v>
      </c>
      <c r="C46" s="25" t="s">
        <v>112</v>
      </c>
      <c r="D46" s="26" t="n">
        <v>-41149</v>
      </c>
      <c r="E46" s="10" t="s">
        <v>104</v>
      </c>
    </row>
    <row r="48" customFormat="false" ht="15" hidden="false" customHeight="false" outlineLevel="0" collapsed="false">
      <c r="A48" s="21" t="s">
        <v>141</v>
      </c>
      <c r="B48" s="22"/>
      <c r="C48" s="22"/>
      <c r="D48" s="23" t="n">
        <f aca="false">SUM(D49:D57)</f>
        <v>-309591</v>
      </c>
      <c r="E48" s="22"/>
    </row>
    <row r="49" customFormat="false" ht="15" hidden="false" customHeight="false" outlineLevel="0" collapsed="false">
      <c r="A49" s="9"/>
      <c r="B49" s="24" t="s">
        <v>130</v>
      </c>
      <c r="C49" s="25" t="s">
        <v>142</v>
      </c>
      <c r="D49" s="26" t="n">
        <v>-167801</v>
      </c>
      <c r="E49" s="10" t="s">
        <v>59</v>
      </c>
    </row>
    <row r="50" customFormat="false" ht="15" hidden="false" customHeight="false" outlineLevel="0" collapsed="false">
      <c r="A50" s="9"/>
      <c r="B50" s="24" t="s">
        <v>143</v>
      </c>
      <c r="C50" s="25" t="s">
        <v>144</v>
      </c>
      <c r="D50" s="26" t="n">
        <v>-25200</v>
      </c>
      <c r="E50" s="10" t="s">
        <v>59</v>
      </c>
    </row>
    <row r="51" customFormat="false" ht="15" hidden="false" customHeight="false" outlineLevel="0" collapsed="false">
      <c r="A51" s="9"/>
      <c r="B51" s="24" t="s">
        <v>143</v>
      </c>
      <c r="C51" s="25" t="s">
        <v>144</v>
      </c>
      <c r="D51" s="26" t="n">
        <v>-25000</v>
      </c>
      <c r="E51" s="10" t="s">
        <v>59</v>
      </c>
    </row>
    <row r="52" customFormat="false" ht="15" hidden="false" customHeight="false" outlineLevel="0" collapsed="false">
      <c r="A52" s="9"/>
      <c r="B52" s="24" t="s">
        <v>143</v>
      </c>
      <c r="C52" s="25" t="s">
        <v>144</v>
      </c>
      <c r="D52" s="26" t="n">
        <v>-25000</v>
      </c>
      <c r="E52" s="10" t="s">
        <v>59</v>
      </c>
    </row>
    <row r="53" customFormat="false" ht="15" hidden="false" customHeight="false" outlineLevel="0" collapsed="false">
      <c r="A53" s="9"/>
      <c r="B53" s="24" t="s">
        <v>143</v>
      </c>
      <c r="C53" s="25" t="s">
        <v>145</v>
      </c>
      <c r="D53" s="26" t="n">
        <v>-3640</v>
      </c>
      <c r="E53" s="10" t="s">
        <v>59</v>
      </c>
    </row>
    <row r="54" customFormat="false" ht="15" hidden="false" customHeight="false" outlineLevel="0" collapsed="false">
      <c r="A54" s="9"/>
      <c r="B54" s="24" t="s">
        <v>146</v>
      </c>
      <c r="C54" s="25" t="s">
        <v>147</v>
      </c>
      <c r="D54" s="26" t="n">
        <v>-15000</v>
      </c>
      <c r="E54" s="10" t="s">
        <v>128</v>
      </c>
    </row>
    <row r="55" customFormat="false" ht="15" hidden="false" customHeight="false" outlineLevel="0" collapsed="false">
      <c r="A55" s="9"/>
      <c r="B55" s="24" t="s">
        <v>148</v>
      </c>
      <c r="C55" s="25" t="s">
        <v>149</v>
      </c>
      <c r="D55" s="26" t="n">
        <v>-22500</v>
      </c>
      <c r="E55" s="10" t="s">
        <v>128</v>
      </c>
    </row>
    <row r="56" customFormat="false" ht="15" hidden="false" customHeight="false" outlineLevel="0" collapsed="false">
      <c r="A56" s="9"/>
      <c r="B56" s="24" t="s">
        <v>150</v>
      </c>
      <c r="C56" s="25" t="s">
        <v>151</v>
      </c>
      <c r="D56" s="26" t="n">
        <v>-24200</v>
      </c>
      <c r="E56" s="10" t="s">
        <v>128</v>
      </c>
    </row>
    <row r="57" customFormat="false" ht="15" hidden="false" customHeight="false" outlineLevel="0" collapsed="false">
      <c r="A57" s="9"/>
      <c r="B57" s="24" t="s">
        <v>152</v>
      </c>
      <c r="C57" s="25" t="s">
        <v>153</v>
      </c>
      <c r="D57" s="26" t="n">
        <v>-1250</v>
      </c>
      <c r="E57" s="10" t="s">
        <v>128</v>
      </c>
    </row>
    <row r="59" customFormat="false" ht="15" hidden="false" customHeight="false" outlineLevel="0" collapsed="false">
      <c r="A59" s="21" t="s">
        <v>154</v>
      </c>
      <c r="B59" s="22"/>
      <c r="C59" s="22"/>
      <c r="D59" s="23" t="n">
        <f aca="false">SUM(D60:D75)</f>
        <v>-408824</v>
      </c>
      <c r="E59" s="22"/>
    </row>
    <row r="60" customFormat="false" ht="15" hidden="false" customHeight="false" outlineLevel="0" collapsed="false">
      <c r="A60" s="9"/>
      <c r="B60" s="24" t="s">
        <v>130</v>
      </c>
      <c r="C60" s="25" t="s">
        <v>155</v>
      </c>
      <c r="D60" s="26" t="n">
        <v>-62077</v>
      </c>
      <c r="E60" s="10" t="s">
        <v>115</v>
      </c>
    </row>
    <row r="61" customFormat="false" ht="15" hidden="false" customHeight="false" outlineLevel="0" collapsed="false">
      <c r="A61" s="9"/>
      <c r="B61" s="24" t="s">
        <v>130</v>
      </c>
      <c r="C61" s="25" t="s">
        <v>156</v>
      </c>
      <c r="D61" s="26" t="n">
        <v>-46024</v>
      </c>
      <c r="E61" s="10" t="s">
        <v>115</v>
      </c>
    </row>
    <row r="62" customFormat="false" ht="15" hidden="false" customHeight="false" outlineLevel="0" collapsed="false">
      <c r="A62" s="9"/>
      <c r="B62" s="24" t="s">
        <v>130</v>
      </c>
      <c r="C62" s="25" t="s">
        <v>157</v>
      </c>
      <c r="D62" s="26" t="n">
        <v>-75215</v>
      </c>
      <c r="E62" s="10" t="s">
        <v>115</v>
      </c>
    </row>
    <row r="63" customFormat="false" ht="15" hidden="false" customHeight="false" outlineLevel="0" collapsed="false">
      <c r="A63" s="9"/>
      <c r="B63" s="24" t="s">
        <v>130</v>
      </c>
      <c r="C63" s="25" t="s">
        <v>158</v>
      </c>
      <c r="D63" s="26" t="n">
        <v>-17735</v>
      </c>
      <c r="E63" s="10" t="s">
        <v>115</v>
      </c>
    </row>
    <row r="64" customFormat="false" ht="15" hidden="false" customHeight="false" outlineLevel="0" collapsed="false">
      <c r="A64" s="9"/>
      <c r="B64" s="24" t="s">
        <v>130</v>
      </c>
      <c r="C64" s="25" t="s">
        <v>159</v>
      </c>
      <c r="D64" s="26" t="n">
        <v>-23850</v>
      </c>
      <c r="E64" s="10" t="s">
        <v>115</v>
      </c>
    </row>
    <row r="65" customFormat="false" ht="15" hidden="false" customHeight="false" outlineLevel="0" collapsed="false">
      <c r="A65" s="9"/>
      <c r="B65" s="24" t="s">
        <v>130</v>
      </c>
      <c r="C65" s="25" t="s">
        <v>160</v>
      </c>
      <c r="D65" s="26" t="n">
        <v>0</v>
      </c>
      <c r="E65" s="10" t="s">
        <v>115</v>
      </c>
    </row>
    <row r="66" customFormat="false" ht="15" hidden="false" customHeight="false" outlineLevel="0" collapsed="false">
      <c r="A66" s="9"/>
      <c r="B66" s="24" t="s">
        <v>130</v>
      </c>
      <c r="C66" s="25" t="s">
        <v>161</v>
      </c>
      <c r="D66" s="26" t="n">
        <v>-35666</v>
      </c>
      <c r="E66" s="10" t="s">
        <v>115</v>
      </c>
    </row>
    <row r="67" customFormat="false" ht="15" hidden="false" customHeight="false" outlineLevel="0" collapsed="false">
      <c r="A67" s="9"/>
      <c r="B67" s="24" t="s">
        <v>130</v>
      </c>
      <c r="C67" s="25" t="s">
        <v>162</v>
      </c>
      <c r="D67" s="26" t="n">
        <v>-45411</v>
      </c>
      <c r="E67" s="10" t="s">
        <v>115</v>
      </c>
    </row>
    <row r="68" customFormat="false" ht="15" hidden="false" customHeight="false" outlineLevel="0" collapsed="false">
      <c r="A68" s="9"/>
      <c r="B68" s="24" t="s">
        <v>130</v>
      </c>
      <c r="C68" s="25" t="s">
        <v>163</v>
      </c>
      <c r="D68" s="26" t="n">
        <v>-27945</v>
      </c>
      <c r="E68" s="10" t="s">
        <v>115</v>
      </c>
    </row>
    <row r="69" customFormat="false" ht="15" hidden="false" customHeight="false" outlineLevel="0" collapsed="false">
      <c r="A69" s="9"/>
      <c r="B69" s="24" t="s">
        <v>130</v>
      </c>
      <c r="C69" s="25" t="s">
        <v>164</v>
      </c>
      <c r="D69" s="26" t="n">
        <v>-20911</v>
      </c>
      <c r="E69" s="10" t="s">
        <v>115</v>
      </c>
    </row>
    <row r="70" customFormat="false" ht="15" hidden="false" customHeight="false" outlineLevel="0" collapsed="false">
      <c r="A70" s="9"/>
      <c r="B70" s="24" t="s">
        <v>130</v>
      </c>
      <c r="C70" s="25" t="s">
        <v>165</v>
      </c>
      <c r="D70" s="26" t="n">
        <v>-26516</v>
      </c>
      <c r="E70" s="10" t="s">
        <v>115</v>
      </c>
    </row>
    <row r="71" customFormat="false" ht="15" hidden="false" customHeight="false" outlineLevel="0" collapsed="false">
      <c r="A71" s="9"/>
      <c r="B71" s="24" t="s">
        <v>130</v>
      </c>
      <c r="C71" s="25" t="s">
        <v>166</v>
      </c>
      <c r="D71" s="26" t="n">
        <v>-16302</v>
      </c>
      <c r="E71" s="10" t="s">
        <v>115</v>
      </c>
    </row>
    <row r="72" customFormat="false" ht="15" hidden="false" customHeight="false" outlineLevel="0" collapsed="false">
      <c r="A72" s="9"/>
      <c r="B72" s="24" t="s">
        <v>167</v>
      </c>
      <c r="C72" s="27" t="s">
        <v>168</v>
      </c>
      <c r="D72" s="26" t="n">
        <v>-490</v>
      </c>
      <c r="E72" s="10" t="s">
        <v>59</v>
      </c>
    </row>
    <row r="73" customFormat="false" ht="15" hidden="false" customHeight="false" outlineLevel="0" collapsed="false">
      <c r="A73" s="9"/>
      <c r="B73" s="24" t="s">
        <v>152</v>
      </c>
      <c r="C73" s="27" t="s">
        <v>169</v>
      </c>
      <c r="D73" s="26" t="n">
        <v>-3822</v>
      </c>
      <c r="E73" s="10" t="s">
        <v>59</v>
      </c>
    </row>
    <row r="74" customFormat="false" ht="15" hidden="false" customHeight="false" outlineLevel="0" collapsed="false">
      <c r="A74" s="9"/>
      <c r="B74" s="24" t="s">
        <v>143</v>
      </c>
      <c r="C74" s="27" t="s">
        <v>170</v>
      </c>
      <c r="D74" s="26" t="n">
        <v>-3626</v>
      </c>
      <c r="E74" s="10" t="s">
        <v>59</v>
      </c>
    </row>
    <row r="75" customFormat="false" ht="15" hidden="false" customHeight="false" outlineLevel="0" collapsed="false">
      <c r="A75" s="9"/>
      <c r="B75" s="24" t="s">
        <v>171</v>
      </c>
      <c r="C75" s="27" t="s">
        <v>172</v>
      </c>
      <c r="D75" s="26" t="n">
        <v>-3234</v>
      </c>
      <c r="E75" s="10" t="s">
        <v>59</v>
      </c>
    </row>
    <row r="77" customFormat="false" ht="15" hidden="false" customHeight="false" outlineLevel="0" collapsed="false">
      <c r="A77" s="21" t="s">
        <v>173</v>
      </c>
      <c r="B77" s="22"/>
      <c r="C77" s="22"/>
      <c r="D77" s="23" t="n">
        <f aca="false">SUM(D78:D86)</f>
        <v>-104668</v>
      </c>
      <c r="E77" s="22"/>
    </row>
    <row r="78" customFormat="false" ht="15" hidden="false" customHeight="false" outlineLevel="0" collapsed="false">
      <c r="A78" s="9"/>
      <c r="B78" s="24" t="s">
        <v>130</v>
      </c>
      <c r="C78" s="25" t="s">
        <v>174</v>
      </c>
      <c r="D78" s="26" t="n">
        <v>-12480</v>
      </c>
      <c r="E78" s="10" t="s">
        <v>121</v>
      </c>
    </row>
    <row r="79" customFormat="false" ht="15" hidden="false" customHeight="false" outlineLevel="0" collapsed="false">
      <c r="A79" s="9"/>
      <c r="B79" s="24" t="s">
        <v>130</v>
      </c>
      <c r="C79" s="25" t="s">
        <v>175</v>
      </c>
      <c r="D79" s="26" t="n">
        <v>-6560</v>
      </c>
      <c r="E79" s="10" t="s">
        <v>121</v>
      </c>
    </row>
    <row r="80" customFormat="false" ht="15" hidden="false" customHeight="false" outlineLevel="0" collapsed="false">
      <c r="A80" s="9"/>
      <c r="B80" s="24" t="s">
        <v>130</v>
      </c>
      <c r="C80" s="25" t="s">
        <v>176</v>
      </c>
      <c r="D80" s="26" t="n">
        <v>-18964</v>
      </c>
      <c r="E80" s="10" t="s">
        <v>121</v>
      </c>
    </row>
    <row r="81" customFormat="false" ht="15" hidden="false" customHeight="false" outlineLevel="0" collapsed="false">
      <c r="A81" s="9"/>
      <c r="B81" s="24" t="s">
        <v>130</v>
      </c>
      <c r="C81" s="25" t="s">
        <v>177</v>
      </c>
      <c r="D81" s="26" t="n">
        <v>-10220</v>
      </c>
      <c r="E81" s="10" t="s">
        <v>121</v>
      </c>
    </row>
    <row r="82" customFormat="false" ht="15" hidden="false" customHeight="false" outlineLevel="0" collapsed="false">
      <c r="A82" s="9"/>
      <c r="B82" s="24" t="s">
        <v>130</v>
      </c>
      <c r="C82" s="25" t="s">
        <v>178</v>
      </c>
      <c r="D82" s="26" t="n">
        <v>-46620</v>
      </c>
      <c r="E82" s="10" t="s">
        <v>121</v>
      </c>
    </row>
    <row r="83" customFormat="false" ht="15" hidden="false" customHeight="false" outlineLevel="0" collapsed="false">
      <c r="A83" s="9"/>
      <c r="B83" s="24" t="s">
        <v>130</v>
      </c>
      <c r="C83" s="25" t="s">
        <v>179</v>
      </c>
      <c r="D83" s="26" t="n">
        <v>-6184</v>
      </c>
      <c r="E83" s="10" t="s">
        <v>121</v>
      </c>
    </row>
    <row r="84" customFormat="false" ht="15" hidden="false" customHeight="false" outlineLevel="0" collapsed="false">
      <c r="A84" s="9"/>
      <c r="B84" s="24" t="s">
        <v>130</v>
      </c>
      <c r="C84" s="25" t="s">
        <v>180</v>
      </c>
      <c r="D84" s="26" t="n">
        <v>-840</v>
      </c>
      <c r="E84" s="10" t="s">
        <v>121</v>
      </c>
    </row>
    <row r="85" customFormat="false" ht="15" hidden="false" customHeight="false" outlineLevel="0" collapsed="false">
      <c r="A85" s="9"/>
      <c r="B85" s="24" t="s">
        <v>130</v>
      </c>
      <c r="C85" s="25" t="s">
        <v>181</v>
      </c>
      <c r="D85" s="26" t="n">
        <v>-1400</v>
      </c>
      <c r="E85" s="10" t="s">
        <v>121</v>
      </c>
    </row>
    <row r="86" customFormat="false" ht="15" hidden="false" customHeight="false" outlineLevel="0" collapsed="false">
      <c r="A86" s="9"/>
      <c r="B86" s="24" t="s">
        <v>130</v>
      </c>
      <c r="C86" s="25" t="s">
        <v>182</v>
      </c>
      <c r="D86" s="26" t="n">
        <v>-1400</v>
      </c>
      <c r="E86" s="10" t="s">
        <v>121</v>
      </c>
    </row>
    <row r="88" customFormat="false" ht="15" hidden="false" customHeight="false" outlineLevel="0" collapsed="false">
      <c r="A88" s="21" t="s">
        <v>183</v>
      </c>
      <c r="B88" s="22"/>
      <c r="C88" s="22"/>
      <c r="D88" s="23" t="n">
        <f aca="false">SUM(D89:D91)</f>
        <v>-365673</v>
      </c>
      <c r="E88" s="22"/>
    </row>
    <row r="89" customFormat="false" ht="15" hidden="false" customHeight="false" outlineLevel="0" collapsed="false">
      <c r="A89" s="9"/>
      <c r="B89" s="24" t="s">
        <v>184</v>
      </c>
      <c r="C89" s="27" t="s">
        <v>185</v>
      </c>
      <c r="D89" s="26" t="n">
        <v>-60000</v>
      </c>
      <c r="E89" s="10" t="s">
        <v>186</v>
      </c>
    </row>
    <row r="90" customFormat="false" ht="15" hidden="false" customHeight="false" outlineLevel="0" collapsed="false">
      <c r="A90" s="9"/>
      <c r="B90" s="24" t="s">
        <v>184</v>
      </c>
      <c r="C90" s="27" t="s">
        <v>187</v>
      </c>
      <c r="D90" s="26" t="n">
        <v>-296158</v>
      </c>
      <c r="E90" s="10" t="s">
        <v>186</v>
      </c>
    </row>
    <row r="91" customFormat="false" ht="15" hidden="false" customHeight="false" outlineLevel="0" collapsed="false">
      <c r="A91" s="9"/>
      <c r="B91" s="24" t="s">
        <v>150</v>
      </c>
      <c r="C91" s="25" t="s">
        <v>188</v>
      </c>
      <c r="D91" s="26" t="n">
        <v>-9515</v>
      </c>
      <c r="E91" s="10" t="s">
        <v>189</v>
      </c>
    </row>
    <row r="93" customFormat="false" ht="15" hidden="false" customHeight="false" outlineLevel="0" collapsed="false">
      <c r="A93" s="21" t="s">
        <v>190</v>
      </c>
      <c r="B93" s="22"/>
      <c r="C93" s="22"/>
      <c r="D93" s="23" t="n">
        <f aca="false">SUM(D94:D94)</f>
        <v>-51330</v>
      </c>
      <c r="E93" s="22"/>
    </row>
    <row r="94" customFormat="false" ht="15" hidden="false" customHeight="false" outlineLevel="0" collapsed="false">
      <c r="A94" s="9"/>
      <c r="B94" s="24" t="s">
        <v>171</v>
      </c>
      <c r="C94" s="25" t="s">
        <v>191</v>
      </c>
      <c r="D94" s="26" t="n">
        <v>-51330</v>
      </c>
      <c r="E94" s="10" t="s">
        <v>37</v>
      </c>
    </row>
    <row r="96" customFormat="false" ht="15" hidden="false" customHeight="false" outlineLevel="0" collapsed="false">
      <c r="A96" s="21" t="s">
        <v>192</v>
      </c>
      <c r="B96" s="22"/>
      <c r="C96" s="22"/>
      <c r="D96" s="23" t="n">
        <f aca="false">SUM(D97:D100)</f>
        <v>-46010</v>
      </c>
      <c r="E96" s="22"/>
    </row>
    <row r="97" customFormat="false" ht="15" hidden="false" customHeight="false" outlineLevel="0" collapsed="false">
      <c r="A97" s="9"/>
      <c r="B97" s="24" t="s">
        <v>126</v>
      </c>
      <c r="C97" s="25" t="s">
        <v>193</v>
      </c>
      <c r="D97" s="26" t="n">
        <v>-24201</v>
      </c>
      <c r="E97" s="10" t="s">
        <v>59</v>
      </c>
    </row>
    <row r="98" customFormat="false" ht="15" hidden="false" customHeight="false" outlineLevel="0" collapsed="false">
      <c r="A98" s="9"/>
      <c r="B98" s="24" t="s">
        <v>194</v>
      </c>
      <c r="C98" s="27" t="s">
        <v>195</v>
      </c>
      <c r="D98" s="26" t="n">
        <v>-16256</v>
      </c>
      <c r="E98" s="10" t="s">
        <v>46</v>
      </c>
    </row>
    <row r="99" customFormat="false" ht="15" hidden="false" customHeight="false" outlineLevel="0" collapsed="false">
      <c r="A99" s="9"/>
      <c r="B99" s="24" t="s">
        <v>196</v>
      </c>
      <c r="C99" s="25" t="s">
        <v>197</v>
      </c>
      <c r="D99" s="26" t="n">
        <v>-3811</v>
      </c>
      <c r="E99" s="10" t="s">
        <v>198</v>
      </c>
    </row>
    <row r="100" customFormat="false" ht="15" hidden="false" customHeight="false" outlineLevel="0" collapsed="false">
      <c r="A100" s="9"/>
      <c r="B100" s="24" t="s">
        <v>199</v>
      </c>
      <c r="C100" s="25" t="s">
        <v>200</v>
      </c>
      <c r="D100" s="26" t="n">
        <v>-1742</v>
      </c>
      <c r="E100" s="10" t="s">
        <v>201</v>
      </c>
    </row>
    <row r="102" customFormat="false" ht="15" hidden="false" customHeight="false" outlineLevel="0" collapsed="false">
      <c r="A102" s="21" t="s">
        <v>202</v>
      </c>
      <c r="B102" s="22"/>
      <c r="C102" s="22"/>
      <c r="D102" s="23" t="n">
        <f aca="false">SUM(D103:D108)</f>
        <v>-4097</v>
      </c>
      <c r="E102" s="22"/>
    </row>
    <row r="103" customFormat="false" ht="15" hidden="false" customHeight="false" outlineLevel="0" collapsed="false">
      <c r="A103" s="9"/>
      <c r="B103" s="24" t="s">
        <v>143</v>
      </c>
      <c r="C103" s="25" t="s">
        <v>203</v>
      </c>
      <c r="D103" s="26" t="n">
        <v>-1400</v>
      </c>
      <c r="E103" s="10" t="s">
        <v>41</v>
      </c>
    </row>
    <row r="104" customFormat="false" ht="15" hidden="false" customHeight="false" outlineLevel="0" collapsed="false">
      <c r="A104" s="9"/>
      <c r="B104" s="24" t="s">
        <v>143</v>
      </c>
      <c r="C104" s="25" t="s">
        <v>204</v>
      </c>
      <c r="D104" s="26" t="n">
        <v>-284</v>
      </c>
      <c r="E104" s="10" t="s">
        <v>41</v>
      </c>
    </row>
    <row r="105" customFormat="false" ht="15" hidden="false" customHeight="false" outlineLevel="0" collapsed="false">
      <c r="A105" s="9"/>
      <c r="B105" s="24" t="s">
        <v>143</v>
      </c>
      <c r="C105" s="25" t="s">
        <v>205</v>
      </c>
      <c r="D105" s="26" t="n">
        <v>-599</v>
      </c>
      <c r="E105" s="10" t="s">
        <v>41</v>
      </c>
    </row>
    <row r="106" customFormat="false" ht="15" hidden="false" customHeight="false" outlineLevel="0" collapsed="false">
      <c r="A106" s="9"/>
      <c r="B106" s="24" t="s">
        <v>143</v>
      </c>
      <c r="C106" s="25" t="s">
        <v>206</v>
      </c>
      <c r="D106" s="26" t="n">
        <v>-599</v>
      </c>
      <c r="E106" s="10" t="s">
        <v>41</v>
      </c>
    </row>
    <row r="107" customFormat="false" ht="15" hidden="false" customHeight="false" outlineLevel="0" collapsed="false">
      <c r="A107" s="9"/>
      <c r="B107" s="24" t="s">
        <v>143</v>
      </c>
      <c r="C107" s="25" t="s">
        <v>207</v>
      </c>
      <c r="D107" s="26" t="n">
        <v>-599</v>
      </c>
      <c r="E107" s="10" t="s">
        <v>41</v>
      </c>
    </row>
    <row r="108" customFormat="false" ht="15" hidden="false" customHeight="false" outlineLevel="0" collapsed="false">
      <c r="A108" s="9"/>
      <c r="B108" s="24" t="s">
        <v>143</v>
      </c>
      <c r="C108" s="25" t="s">
        <v>208</v>
      </c>
      <c r="D108" s="26" t="n">
        <v>-616</v>
      </c>
      <c r="E108" s="10" t="s">
        <v>41</v>
      </c>
    </row>
    <row r="110" customFormat="false" ht="15" hidden="false" customHeight="false" outlineLevel="0" collapsed="false">
      <c r="A110" s="21" t="s">
        <v>209</v>
      </c>
      <c r="B110" s="22"/>
      <c r="C110" s="22"/>
      <c r="D110" s="23" t="n">
        <f aca="false">SUM(D111:D113)</f>
        <v>-201313</v>
      </c>
      <c r="E110" s="22"/>
    </row>
    <row r="111" customFormat="false" ht="15" hidden="false" customHeight="false" outlineLevel="0" collapsed="false">
      <c r="A111" s="9"/>
      <c r="B111" s="24" t="s">
        <v>210</v>
      </c>
      <c r="C111" s="25" t="s">
        <v>211</v>
      </c>
      <c r="D111" s="26" t="n">
        <v>-172847</v>
      </c>
      <c r="E111" s="10" t="s">
        <v>41</v>
      </c>
    </row>
    <row r="112" customFormat="false" ht="15" hidden="false" customHeight="false" outlineLevel="0" collapsed="false">
      <c r="A112" s="9"/>
      <c r="B112" s="24" t="s">
        <v>212</v>
      </c>
      <c r="C112" s="25" t="s">
        <v>213</v>
      </c>
      <c r="D112" s="26" t="n">
        <v>-25</v>
      </c>
      <c r="E112" s="10" t="s">
        <v>128</v>
      </c>
    </row>
    <row r="113" customFormat="false" ht="15" hidden="false" customHeight="false" outlineLevel="0" collapsed="false">
      <c r="A113" s="9"/>
      <c r="B113" s="24" t="s">
        <v>214</v>
      </c>
      <c r="C113" s="25" t="s">
        <v>215</v>
      </c>
      <c r="D113" s="26" t="n">
        <v>-28441</v>
      </c>
      <c r="E113" s="10" t="s">
        <v>189</v>
      </c>
    </row>
    <row r="115" customFormat="false" ht="15" hidden="false" customHeight="false" outlineLevel="0" collapsed="false">
      <c r="A115" s="21" t="s">
        <v>216</v>
      </c>
      <c r="B115" s="22"/>
      <c r="C115" s="22"/>
      <c r="D115" s="23" t="n">
        <f aca="false">SUM(D116:D116)</f>
        <v>-1120</v>
      </c>
      <c r="E115" s="22"/>
    </row>
    <row r="116" customFormat="false" ht="15" hidden="false" customHeight="false" outlineLevel="0" collapsed="false">
      <c r="A116" s="9"/>
      <c r="B116" s="24" t="s">
        <v>217</v>
      </c>
      <c r="C116" s="27" t="s">
        <v>218</v>
      </c>
      <c r="D116" s="26" t="n">
        <v>-1120</v>
      </c>
      <c r="E116" s="10" t="s">
        <v>46</v>
      </c>
    </row>
    <row r="118" customFormat="false" ht="15" hidden="false" customHeight="false" outlineLevel="0" collapsed="false">
      <c r="A118" s="21" t="s">
        <v>219</v>
      </c>
      <c r="B118" s="22"/>
      <c r="C118" s="22"/>
      <c r="D118" s="23" t="n">
        <f aca="false">SUM(D119:D119)</f>
        <v>-31766</v>
      </c>
      <c r="E118" s="22"/>
    </row>
    <row r="119" customFormat="false" ht="15" hidden="false" customHeight="false" outlineLevel="0" collapsed="false">
      <c r="A119" s="9"/>
      <c r="B119" s="24" t="s">
        <v>130</v>
      </c>
      <c r="C119" s="25" t="s">
        <v>220</v>
      </c>
      <c r="D119" s="26" t="n">
        <v>-31766</v>
      </c>
      <c r="E119" s="10" t="s">
        <v>59</v>
      </c>
    </row>
    <row r="121" customFormat="false" ht="15" hidden="false" customHeight="false" outlineLevel="0" collapsed="false">
      <c r="A121" s="21" t="s">
        <v>221</v>
      </c>
      <c r="B121" s="22"/>
      <c r="C121" s="22"/>
      <c r="D121" s="23" t="n">
        <f aca="false">SUM(D122:D122)</f>
        <v>-39232</v>
      </c>
      <c r="E121" s="22"/>
    </row>
    <row r="122" customFormat="false" ht="15" hidden="false" customHeight="false" outlineLevel="0" collapsed="false">
      <c r="A122" s="9"/>
      <c r="B122" s="24" t="s">
        <v>130</v>
      </c>
      <c r="C122" s="25" t="s">
        <v>222</v>
      </c>
      <c r="D122" s="26" t="n">
        <v>-39232</v>
      </c>
      <c r="E122" s="10" t="s">
        <v>59</v>
      </c>
    </row>
    <row r="124" customFormat="false" ht="15" hidden="false" customHeight="false" outlineLevel="0" collapsed="false">
      <c r="A124" s="21" t="s">
        <v>223</v>
      </c>
      <c r="B124" s="22"/>
      <c r="C124" s="22"/>
      <c r="D124" s="23" t="n">
        <f aca="false">SUM(D125:D125)</f>
        <v>-3400</v>
      </c>
      <c r="E124" s="22"/>
    </row>
    <row r="125" customFormat="false" ht="15" hidden="false" customHeight="false" outlineLevel="0" collapsed="false">
      <c r="A125" s="9"/>
      <c r="B125" s="24" t="s">
        <v>113</v>
      </c>
      <c r="C125" s="25" t="s">
        <v>224</v>
      </c>
      <c r="D125" s="26" t="n">
        <v>-3400</v>
      </c>
      <c r="E125" s="10" t="s">
        <v>128</v>
      </c>
    </row>
    <row r="127" customFormat="false" ht="15" hidden="false" customHeight="false" outlineLevel="0" collapsed="false">
      <c r="A127" s="21" t="s">
        <v>225</v>
      </c>
      <c r="B127" s="22"/>
      <c r="C127" s="22"/>
      <c r="D127" s="23" t="n">
        <f aca="false">SUM(D128:D129)</f>
        <v>-18648</v>
      </c>
      <c r="E127" s="22"/>
    </row>
    <row r="128" customFormat="false" ht="15" hidden="false" customHeight="false" outlineLevel="0" collapsed="false">
      <c r="A128" s="9"/>
      <c r="B128" s="24" t="s">
        <v>143</v>
      </c>
      <c r="C128" s="27" t="s">
        <v>226</v>
      </c>
      <c r="D128" s="26" t="n">
        <v>-6600</v>
      </c>
      <c r="E128" s="10" t="s">
        <v>59</v>
      </c>
    </row>
    <row r="129" customFormat="false" ht="15" hidden="false" customHeight="false" outlineLevel="0" collapsed="false">
      <c r="A129" s="9"/>
      <c r="B129" s="24" t="s">
        <v>116</v>
      </c>
      <c r="C129" s="27" t="s">
        <v>227</v>
      </c>
      <c r="D129" s="26" t="n">
        <v>-12048</v>
      </c>
      <c r="E129" s="10" t="s">
        <v>59</v>
      </c>
    </row>
    <row r="131" customFormat="false" ht="15" hidden="false" customHeight="false" outlineLevel="0" collapsed="false">
      <c r="A131" s="21" t="s">
        <v>228</v>
      </c>
      <c r="B131" s="22"/>
      <c r="C131" s="22"/>
      <c r="D131" s="23" t="n">
        <f aca="false">SUM(D132:D134)</f>
        <v>-289838</v>
      </c>
      <c r="E131" s="22"/>
    </row>
    <row r="132" customFormat="false" ht="15" hidden="false" customHeight="false" outlineLevel="0" collapsed="false">
      <c r="A132" s="9"/>
      <c r="B132" s="24" t="s">
        <v>113</v>
      </c>
      <c r="C132" s="25" t="s">
        <v>229</v>
      </c>
      <c r="D132" s="26" t="n">
        <v>-105000</v>
      </c>
      <c r="E132" s="10" t="s">
        <v>59</v>
      </c>
    </row>
    <row r="133" customFormat="false" ht="15" hidden="false" customHeight="false" outlineLevel="0" collapsed="false">
      <c r="A133" s="9"/>
      <c r="B133" s="24" t="s">
        <v>230</v>
      </c>
      <c r="C133" s="25" t="s">
        <v>231</v>
      </c>
      <c r="D133" s="26" t="n">
        <v>-120363</v>
      </c>
      <c r="E133" s="10" t="s">
        <v>132</v>
      </c>
    </row>
    <row r="134" customFormat="false" ht="15" hidden="false" customHeight="false" outlineLevel="0" collapsed="false">
      <c r="A134" s="9"/>
      <c r="B134" s="24" t="s">
        <v>130</v>
      </c>
      <c r="C134" s="25" t="s">
        <v>232</v>
      </c>
      <c r="D134" s="26" t="n">
        <v>-64475</v>
      </c>
      <c r="E134" s="10" t="s">
        <v>132</v>
      </c>
    </row>
    <row r="136" customFormat="false" ht="15" hidden="false" customHeight="false" outlineLevel="0" collapsed="false">
      <c r="A136" s="21" t="s">
        <v>233</v>
      </c>
      <c r="B136" s="22"/>
      <c r="C136" s="22"/>
      <c r="D136" s="23" t="n">
        <f aca="false">SUM(D137:D138)</f>
        <v>-1870</v>
      </c>
      <c r="E136" s="22"/>
    </row>
    <row r="137" customFormat="false" ht="15" hidden="false" customHeight="false" outlineLevel="0" collapsed="false">
      <c r="A137" s="9"/>
      <c r="B137" s="24" t="s">
        <v>234</v>
      </c>
      <c r="C137" s="27" t="s">
        <v>235</v>
      </c>
      <c r="D137" s="26" t="n">
        <v>-1232</v>
      </c>
      <c r="E137" s="10" t="s">
        <v>46</v>
      </c>
    </row>
    <row r="138" customFormat="false" ht="15" hidden="false" customHeight="false" outlineLevel="0" collapsed="false">
      <c r="A138" s="9"/>
      <c r="B138" s="24" t="s">
        <v>236</v>
      </c>
      <c r="C138" s="25" t="s">
        <v>237</v>
      </c>
      <c r="D138" s="26" t="n">
        <v>-638</v>
      </c>
      <c r="E138" s="10" t="s">
        <v>198</v>
      </c>
    </row>
    <row r="140" customFormat="false" ht="15" hidden="false" customHeight="false" outlineLevel="0" collapsed="false">
      <c r="A140" s="21" t="s">
        <v>238</v>
      </c>
      <c r="B140" s="22"/>
      <c r="C140" s="22"/>
      <c r="D140" s="23" t="n">
        <f aca="false">SUM(D141:D141)</f>
        <v>-4240</v>
      </c>
      <c r="E140" s="22"/>
    </row>
    <row r="141" customFormat="false" ht="15" hidden="false" customHeight="false" outlineLevel="0" collapsed="false">
      <c r="A141" s="9"/>
      <c r="B141" s="24" t="s">
        <v>130</v>
      </c>
      <c r="C141" s="25" t="s">
        <v>239</v>
      </c>
      <c r="D141" s="26" t="n">
        <v>-4240</v>
      </c>
      <c r="E141" s="10" t="s">
        <v>59</v>
      </c>
    </row>
    <row r="143" customFormat="false" ht="15" hidden="false" customHeight="false" outlineLevel="0" collapsed="false">
      <c r="A143" s="21" t="s">
        <v>240</v>
      </c>
      <c r="B143" s="22"/>
      <c r="C143" s="22"/>
      <c r="D143" s="23" t="n">
        <f aca="false">SUM(D144:D148)</f>
        <v>-8972</v>
      </c>
      <c r="E143" s="22"/>
    </row>
    <row r="144" customFormat="false" ht="15" hidden="false" customHeight="false" outlineLevel="0" collapsed="false">
      <c r="A144" s="9"/>
      <c r="B144" s="24" t="s">
        <v>171</v>
      </c>
      <c r="C144" s="27" t="s">
        <v>241</v>
      </c>
      <c r="D144" s="26" t="n">
        <v>-6692</v>
      </c>
      <c r="E144" s="10" t="s">
        <v>59</v>
      </c>
    </row>
    <row r="145" customFormat="false" ht="15" hidden="false" customHeight="false" outlineLevel="0" collapsed="false">
      <c r="A145" s="9"/>
      <c r="B145" s="24" t="s">
        <v>242</v>
      </c>
      <c r="C145" s="25" t="s">
        <v>243</v>
      </c>
      <c r="D145" s="26" t="n">
        <v>-360</v>
      </c>
      <c r="E145" s="10" t="s">
        <v>201</v>
      </c>
    </row>
    <row r="146" customFormat="false" ht="15" hidden="false" customHeight="false" outlineLevel="0" collapsed="false">
      <c r="A146" s="9"/>
      <c r="B146" s="24" t="s">
        <v>242</v>
      </c>
      <c r="C146" s="25" t="s">
        <v>244</v>
      </c>
      <c r="D146" s="26" t="n">
        <v>-799</v>
      </c>
      <c r="E146" s="10" t="s">
        <v>201</v>
      </c>
    </row>
    <row r="147" customFormat="false" ht="15" hidden="false" customHeight="false" outlineLevel="0" collapsed="false">
      <c r="A147" s="9"/>
      <c r="B147" s="24" t="s">
        <v>242</v>
      </c>
      <c r="C147" s="25" t="s">
        <v>245</v>
      </c>
      <c r="D147" s="26" t="n">
        <v>-345</v>
      </c>
      <c r="E147" s="10" t="s">
        <v>201</v>
      </c>
    </row>
    <row r="148" customFormat="false" ht="15" hidden="false" customHeight="false" outlineLevel="0" collapsed="false">
      <c r="A148" s="9"/>
      <c r="B148" s="24" t="s">
        <v>242</v>
      </c>
      <c r="C148" s="25" t="s">
        <v>246</v>
      </c>
      <c r="D148" s="26" t="n">
        <v>-776</v>
      </c>
      <c r="E148" s="10" t="s">
        <v>201</v>
      </c>
    </row>
    <row r="150" customFormat="false" ht="15" hidden="false" customHeight="false" outlineLevel="0" collapsed="false">
      <c r="A150" s="21" t="s">
        <v>247</v>
      </c>
      <c r="B150" s="22"/>
      <c r="C150" s="22"/>
      <c r="D150" s="23" t="n">
        <f aca="false">SUM(D151:D157)</f>
        <v>-8577</v>
      </c>
      <c r="E150" s="22"/>
    </row>
    <row r="151" customFormat="false" ht="15" hidden="false" customHeight="false" outlineLevel="0" collapsed="false">
      <c r="A151" s="9"/>
      <c r="B151" s="24" t="s">
        <v>248</v>
      </c>
      <c r="C151" s="27" t="s">
        <v>249</v>
      </c>
      <c r="D151" s="26" t="n">
        <v>-831</v>
      </c>
      <c r="E151" s="10" t="s">
        <v>41</v>
      </c>
    </row>
    <row r="152" customFormat="false" ht="15" hidden="false" customHeight="false" outlineLevel="0" collapsed="false">
      <c r="A152" s="9"/>
      <c r="B152" s="24" t="s">
        <v>214</v>
      </c>
      <c r="C152" s="27" t="s">
        <v>250</v>
      </c>
      <c r="D152" s="26" t="n">
        <v>-703</v>
      </c>
      <c r="E152" s="10" t="s">
        <v>41</v>
      </c>
    </row>
    <row r="153" customFormat="false" ht="15" hidden="false" customHeight="false" outlineLevel="0" collapsed="false">
      <c r="A153" s="9"/>
      <c r="B153" s="24" t="s">
        <v>251</v>
      </c>
      <c r="C153" s="27" t="s">
        <v>252</v>
      </c>
      <c r="D153" s="26" t="n">
        <v>-294</v>
      </c>
      <c r="E153" s="10" t="s">
        <v>41</v>
      </c>
    </row>
    <row r="154" customFormat="false" ht="15" hidden="false" customHeight="false" outlineLevel="0" collapsed="false">
      <c r="A154" s="9"/>
      <c r="B154" s="24" t="s">
        <v>167</v>
      </c>
      <c r="C154" s="25" t="s">
        <v>253</v>
      </c>
      <c r="D154" s="26" t="n">
        <v>-699</v>
      </c>
      <c r="E154" s="10" t="s">
        <v>41</v>
      </c>
    </row>
    <row r="155" customFormat="false" ht="15" hidden="false" customHeight="false" outlineLevel="0" collapsed="false">
      <c r="A155" s="9"/>
      <c r="B155" s="24" t="s">
        <v>254</v>
      </c>
      <c r="C155" s="27" t="s">
        <v>255</v>
      </c>
      <c r="D155" s="26" t="n">
        <v>-5706</v>
      </c>
      <c r="E155" s="10" t="s">
        <v>41</v>
      </c>
    </row>
    <row r="156" customFormat="false" ht="15" hidden="false" customHeight="false" outlineLevel="0" collapsed="false">
      <c r="A156" s="9"/>
      <c r="B156" s="24" t="s">
        <v>217</v>
      </c>
      <c r="C156" s="27" t="s">
        <v>252</v>
      </c>
      <c r="D156" s="26" t="n">
        <v>-253</v>
      </c>
      <c r="E156" s="10" t="s">
        <v>41</v>
      </c>
    </row>
    <row r="157" customFormat="false" ht="15" hidden="false" customHeight="false" outlineLevel="0" collapsed="false">
      <c r="A157" s="9"/>
      <c r="B157" s="24" t="s">
        <v>256</v>
      </c>
      <c r="C157" s="27" t="s">
        <v>252</v>
      </c>
      <c r="D157" s="26" t="n">
        <v>-91</v>
      </c>
      <c r="E157" s="10" t="s">
        <v>41</v>
      </c>
    </row>
    <row r="159" customFormat="false" ht="15" hidden="false" customHeight="false" outlineLevel="0" collapsed="false">
      <c r="A159" s="21" t="s">
        <v>257</v>
      </c>
      <c r="B159" s="22"/>
      <c r="C159" s="22"/>
      <c r="D159" s="23" t="n">
        <f aca="false">SUM(D160:D165)</f>
        <v>-5738</v>
      </c>
      <c r="E159" s="22"/>
    </row>
    <row r="160" customFormat="false" ht="15" hidden="false" customHeight="false" outlineLevel="0" collapsed="false">
      <c r="A160" s="9"/>
      <c r="B160" s="24" t="s">
        <v>130</v>
      </c>
      <c r="C160" s="25" t="s">
        <v>258</v>
      </c>
      <c r="D160" s="26" t="n">
        <v>-504</v>
      </c>
      <c r="E160" s="10" t="s">
        <v>115</v>
      </c>
    </row>
    <row r="161" customFormat="false" ht="15" hidden="false" customHeight="false" outlineLevel="0" collapsed="false">
      <c r="A161" s="9"/>
      <c r="B161" s="24" t="s">
        <v>259</v>
      </c>
      <c r="C161" s="27" t="s">
        <v>260</v>
      </c>
      <c r="D161" s="26" t="n">
        <v>-2848</v>
      </c>
      <c r="E161" s="10" t="s">
        <v>46</v>
      </c>
    </row>
    <row r="162" customFormat="false" ht="15" hidden="false" customHeight="false" outlineLevel="0" collapsed="false">
      <c r="A162" s="9"/>
      <c r="B162" s="24" t="s">
        <v>261</v>
      </c>
      <c r="C162" s="25" t="s">
        <v>262</v>
      </c>
      <c r="D162" s="26" t="n">
        <v>-1786</v>
      </c>
      <c r="E162" s="10" t="s">
        <v>198</v>
      </c>
    </row>
    <row r="163" customFormat="false" ht="15" hidden="false" customHeight="false" outlineLevel="0" collapsed="false">
      <c r="A163" s="9"/>
      <c r="B163" s="24" t="s">
        <v>263</v>
      </c>
      <c r="C163" s="25" t="s">
        <v>264</v>
      </c>
      <c r="D163" s="26" t="n">
        <v>-50</v>
      </c>
      <c r="E163" s="10" t="s">
        <v>128</v>
      </c>
    </row>
    <row r="164" customFormat="false" ht="15" hidden="false" customHeight="false" outlineLevel="0" collapsed="false">
      <c r="A164" s="9"/>
      <c r="B164" s="24" t="s">
        <v>265</v>
      </c>
      <c r="C164" s="25" t="s">
        <v>266</v>
      </c>
      <c r="D164" s="26" t="n">
        <v>-300</v>
      </c>
      <c r="E164" s="10" t="s">
        <v>198</v>
      </c>
    </row>
    <row r="165" customFormat="false" ht="15" hidden="false" customHeight="false" outlineLevel="0" collapsed="false">
      <c r="A165" s="9"/>
      <c r="B165" s="24" t="s">
        <v>267</v>
      </c>
      <c r="C165" s="25" t="s">
        <v>268</v>
      </c>
      <c r="D165" s="26" t="n">
        <v>-250</v>
      </c>
      <c r="E165" s="10" t="s">
        <v>201</v>
      </c>
    </row>
    <row r="167" customFormat="false" ht="15" hidden="false" customHeight="false" outlineLevel="0" collapsed="false">
      <c r="A167" s="21" t="s">
        <v>269</v>
      </c>
      <c r="B167" s="22"/>
      <c r="C167" s="22"/>
      <c r="D167" s="23" t="n">
        <f aca="false">SUM(D168:D168)</f>
        <v>-17410</v>
      </c>
      <c r="E167" s="22"/>
    </row>
    <row r="168" customFormat="false" ht="15" hidden="false" customHeight="false" outlineLevel="0" collapsed="false">
      <c r="A168" s="9"/>
      <c r="B168" s="24" t="s">
        <v>130</v>
      </c>
      <c r="C168" s="25" t="s">
        <v>270</v>
      </c>
      <c r="D168" s="26" t="n">
        <v>-17410</v>
      </c>
      <c r="E168" s="10" t="s">
        <v>59</v>
      </c>
    </row>
    <row r="170" customFormat="false" ht="15" hidden="false" customHeight="false" outlineLevel="0" collapsed="false">
      <c r="A170" s="21" t="s">
        <v>271</v>
      </c>
      <c r="B170" s="22"/>
      <c r="C170" s="22"/>
      <c r="D170" s="23" t="n">
        <f aca="false">SUM(D171:D172)</f>
        <v>-723</v>
      </c>
      <c r="E170" s="22"/>
    </row>
    <row r="171" customFormat="false" ht="15" hidden="false" customHeight="false" outlineLevel="0" collapsed="false">
      <c r="A171" s="9"/>
      <c r="B171" s="24" t="s">
        <v>272</v>
      </c>
      <c r="C171" s="25" t="s">
        <v>273</v>
      </c>
      <c r="D171" s="26" t="n">
        <v>-181</v>
      </c>
      <c r="E171" s="10" t="s">
        <v>189</v>
      </c>
    </row>
    <row r="172" customFormat="false" ht="15" hidden="false" customHeight="false" outlineLevel="0" collapsed="false">
      <c r="A172" s="9"/>
      <c r="B172" s="24" t="s">
        <v>272</v>
      </c>
      <c r="C172" s="25" t="s">
        <v>274</v>
      </c>
      <c r="D172" s="26" t="n">
        <v>-542</v>
      </c>
      <c r="E172" s="10" t="s">
        <v>189</v>
      </c>
    </row>
    <row r="175" customFormat="false" ht="15" hidden="false" customHeight="false" outlineLevel="0" collapsed="false">
      <c r="A175" s="19" t="s">
        <v>89</v>
      </c>
    </row>
    <row r="176" customFormat="false" ht="15" hidden="false" customHeight="false" outlineLevel="0" collapsed="false">
      <c r="A176" s="20" t="s">
        <v>275</v>
      </c>
      <c r="B176" s="20"/>
      <c r="C176" s="20"/>
      <c r="D176" s="20"/>
      <c r="E176" s="20"/>
    </row>
    <row r="177" customFormat="false" ht="11.9" hidden="false" customHeight="false" outlineLevel="0" collapsed="false">
      <c r="A177" s="20" t="s">
        <v>276</v>
      </c>
      <c r="B177" s="20"/>
      <c r="C177" s="20"/>
      <c r="D177" s="20"/>
      <c r="E177" s="20"/>
    </row>
    <row r="178" customFormat="false" ht="11.9" hidden="false" customHeight="false" outlineLevel="0" collapsed="false">
      <c r="A178" s="20" t="s">
        <v>277</v>
      </c>
      <c r="B178" s="20"/>
      <c r="C178" s="20"/>
      <c r="D178" s="20"/>
      <c r="E178" s="20"/>
    </row>
  </sheetData>
  <mergeCells count="3">
    <mergeCell ref="A176:E176"/>
    <mergeCell ref="A177:E177"/>
    <mergeCell ref="A178:E1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2026-09-29T12:27:02Z</dcterms:created>
  <dc:creator>openpyxl</dc:creator>
  <dc:description/>
  <dc:language>en-US</dc:language>
  <cp:lastModifiedBy/>
  <dcterms:modified xsi:type="dcterms:W3CDTF">2026-09-29T12:27:02Z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